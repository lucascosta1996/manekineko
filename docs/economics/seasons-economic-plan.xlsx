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c9aef6121d49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230ed63adf446c7"/>
    <x:sheet xmlns:r="http://schemas.openxmlformats.org/officeDocument/2006/relationships" name="Seasons" sheetId="2" r:id="R58d0125c7ea5402c"/>
    <x:sheet xmlns:r="http://schemas.openxmlformats.org/officeDocument/2006/relationships" name="Collections" sheetId="3" r:id="R94c421e7b97444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0;(#,##0.0000);&quot;–&quot;"/>
    <x:numFmt numFmtId="201" formatCode="0.0%"/>
    <x:numFmt numFmtId="202" formatCode="&quot;$&quot;#,##0;(&quot;$&quot;#,##0);&quot;–&quot;"/>
    <x:numFmt numFmtId="203" formatCode="#,##0;(#,##0);&quot;–&quot;"/>
    <x:numFmt numFmtId="204" formatCode="0.0000"/>
    <x:numFmt numFmtId="205" formatCode="0.00%"/>
  </x:numFmts>
  <x:fonts count="12">
    <x:font>
      <x:sz val="11"/>
      <x:name val="Carlito"/>
    </x:font>
    <x:font>
      <x:sz val="11"/>
      <x:color rgb="FF1E3931"/>
      <x:name val="Arial"/>
    </x:font>
    <x:font>
      <x:b/>
      <x:sz val="16"/>
      <x:color rgb="FF1E3931"/>
      <x:name val="Arial"/>
    </x:font>
    <x:font>
      <x:i/>
      <x:sz val="11"/>
      <x:color rgb="FF65746C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b/>
      <x:sz val="11"/>
      <x:color rgb="FF1E3931"/>
      <x:name val="Arial"/>
    </x:font>
    <x:font>
      <x:b/>
      <x:sz val="11"/>
      <x:color rgb="FF000000"/>
      <x:name val="Arial"/>
    </x:font>
    <x:font>
      <x:b/>
      <x:sz val="14"/>
      <x:color rgb="FF000000"/>
      <x:name val="Arial"/>
    </x:font>
    <x:font>
      <x:sz val="11"/>
      <x:color rgb="FF65746C"/>
      <x:name val="Arial"/>
    </x:font>
    <x:font>
      <x:sz val="11"/>
      <x:color rgb="FF008000"/>
      <x:name val="Arial"/>
    </x:font>
  </x:fonts>
  <x:fills count="222">
    <x:fill>
      <x:patternFill patternType="none"/>
    </x:fill>
    <x:fill>
      <x:patternFill patternType="gray125"/>
    </x:fill>
    <x:fill>
      <x:patternFill patternType="solid">
        <x:fgColor rgb="FF1E3931"/>
      </x:patternFill>
    </x:fill>
    <x:fill>
      <x:patternFill patternType="solid">
        <x:fgColor rgb="FFFFF2CC"/>
      </x:patternFill>
    </x:fill>
    <x:fill>
      <x:patternFill patternType="solid">
        <x:fgColor rgb="FFEDF3E7"/>
      </x:patternFill>
    </x:fill>
    <x:fill>
      <x:patternFill patternType="solid">
        <x:fgColor rgb="FFF3F6F0"/>
      </x:patternFill>
    </x:fill>
    <x:fill>
      <x:patternFill patternType="solid">
        <x:fgColor rgb="FF330000"/>
      </x:patternFill>
    </x:fill>
    <x:fill>
      <x:patternFill patternType="solid">
        <x:fgColor rgb="FF660000"/>
      </x:patternFill>
    </x:fill>
    <x:fill>
      <x:patternFill patternType="solid">
        <x:fgColor rgb="FF990000"/>
      </x:patternFill>
    </x:fill>
    <x:fill>
      <x:patternFill patternType="solid">
        <x:fgColor rgb="FFCC0000"/>
      </x:patternFill>
    </x:fill>
    <x:fill>
      <x:patternFill patternType="solid">
        <x:fgColor rgb="FFFF0000"/>
      </x:patternFill>
    </x:fill>
    <x:fill>
      <x:patternFill patternType="solid">
        <x:fgColor rgb="FF663300"/>
      </x:patternFill>
    </x:fill>
    <x:fill>
      <x:patternFill patternType="solid">
        <x:fgColor rgb="FF993300"/>
      </x:patternFill>
    </x:fill>
    <x:fill>
      <x:patternFill patternType="solid">
        <x:fgColor rgb="FFCC3300"/>
      </x:patternFill>
    </x:fill>
    <x:fill>
      <x:patternFill patternType="solid">
        <x:fgColor rgb="FFFF3300"/>
      </x:patternFill>
    </x:fill>
    <x:fill>
      <x:patternFill patternType="solid">
        <x:fgColor rgb="FFFF6600"/>
      </x:patternFill>
    </x:fill>
    <x:fill>
      <x:patternFill patternType="solid">
        <x:fgColor rgb="FF996600"/>
      </x:patternFill>
    </x:fill>
    <x:fill>
      <x:patternFill patternType="solid">
        <x:fgColor rgb="FFCC6600"/>
      </x:patternFill>
    </x:fill>
    <x:fill>
      <x:patternFill patternType="solid">
        <x:fgColor rgb="FFCC9900"/>
      </x:patternFill>
    </x:fill>
    <x:fill>
      <x:patternFill patternType="solid">
        <x:fgColor rgb="FFFF9900"/>
      </x:patternFill>
    </x:fill>
    <x:fill>
      <x:patternFill patternType="solid">
        <x:fgColor rgb="FFFFCC00"/>
      </x:patternFill>
    </x:fill>
    <x:fill>
      <x:patternFill patternType="solid">
        <x:fgColor rgb="FF663333"/>
      </x:patternFill>
    </x:fill>
    <x:fill>
      <x:patternFill patternType="solid">
        <x:fgColor rgb="FF993333"/>
      </x:patternFill>
    </x:fill>
    <x:fill>
      <x:patternFill patternType="solid">
        <x:fgColor rgb="FFCC3333"/>
      </x:patternFill>
    </x:fill>
    <x:fill>
      <x:patternFill patternType="solid">
        <x:fgColor rgb="FFFF3333"/>
      </x:patternFill>
    </x:fill>
    <x:fill>
      <x:patternFill patternType="solid">
        <x:fgColor rgb="FF996633"/>
      </x:patternFill>
    </x:fill>
    <x:fill>
      <x:patternFill patternType="solid">
        <x:fgColor rgb="FFCC6633"/>
      </x:patternFill>
    </x:fill>
    <x:fill>
      <x:patternFill patternType="solid">
        <x:fgColor rgb="FFFF6633"/>
      </x:patternFill>
    </x:fill>
    <x:fill>
      <x:patternFill patternType="solid">
        <x:fgColor rgb="FFCC9933"/>
      </x:patternFill>
    </x:fill>
    <x:fill>
      <x:patternFill patternType="solid">
        <x:fgColor rgb="FFFF9933"/>
      </x:patternFill>
    </x:fill>
    <x:fill>
      <x:patternFill patternType="solid">
        <x:fgColor rgb="FFFFCC33"/>
      </x:patternFill>
    </x:fill>
    <x:fill>
      <x:patternFill patternType="solid">
        <x:fgColor rgb="FF996666"/>
      </x:patternFill>
    </x:fill>
    <x:fill>
      <x:patternFill patternType="solid">
        <x:fgColor rgb="FFCC6666"/>
      </x:patternFill>
    </x:fill>
    <x:fill>
      <x:patternFill patternType="solid">
        <x:fgColor rgb="FFFF6666"/>
      </x:patternFill>
    </x:fill>
    <x:fill>
      <x:patternFill patternType="solid">
        <x:fgColor rgb="FFCC9966"/>
      </x:patternFill>
    </x:fill>
    <x:fill>
      <x:patternFill patternType="solid">
        <x:fgColor rgb="FFFF9966"/>
      </x:patternFill>
    </x:fill>
    <x:fill>
      <x:patternFill patternType="solid">
        <x:fgColor rgb="FFFFFF00"/>
      </x:patternFill>
    </x:fill>
    <x:fill>
      <x:patternFill patternType="solid">
        <x:fgColor rgb="FFFFFF33"/>
      </x:patternFill>
    </x:fill>
    <x:fill>
      <x:patternFill patternType="solid">
        <x:fgColor rgb="FFFFFF66"/>
      </x:patternFill>
    </x:fill>
    <x:fill>
      <x:patternFill patternType="solid">
        <x:fgColor rgb="FFFFFF99"/>
      </x:patternFill>
    </x:fill>
    <x:fill>
      <x:patternFill patternType="solid">
        <x:fgColor rgb="FFFFFFCC"/>
      </x:patternFill>
    </x:fill>
    <x:fill>
      <x:patternFill patternType="solid">
        <x:fgColor rgb="FFCCCC00"/>
      </x:patternFill>
    </x:fill>
    <x:fill>
      <x:patternFill patternType="solid">
        <x:fgColor rgb="FFCCCC33"/>
      </x:patternFill>
    </x:fill>
    <x:fill>
      <x:patternFill patternType="solid">
        <x:fgColor rgb="FFCCCC66"/>
      </x:patternFill>
    </x:fill>
    <x:fill>
      <x:patternFill patternType="solid">
        <x:fgColor rgb="FFCCCC99"/>
      </x:patternFill>
    </x:fill>
    <x:fill>
      <x:patternFill patternType="solid">
        <x:fgColor rgb="FFFFCC66"/>
      </x:patternFill>
    </x:fill>
    <x:fill>
      <x:patternFill patternType="solid">
        <x:fgColor rgb="FF333300"/>
      </x:patternFill>
    </x:fill>
    <x:fill>
      <x:patternFill patternType="solid">
        <x:fgColor rgb="FF666600"/>
      </x:patternFill>
    </x:fill>
    <x:fill>
      <x:patternFill patternType="solid">
        <x:fgColor rgb="FF666633"/>
      </x:patternFill>
    </x:fill>
    <x:fill>
      <x:patternFill patternType="solid">
        <x:fgColor rgb="FF999900"/>
      </x:patternFill>
    </x:fill>
    <x:fill>
      <x:patternFill patternType="solid">
        <x:fgColor rgb="FF999933"/>
      </x:patternFill>
    </x:fill>
    <x:fill>
      <x:patternFill patternType="solid">
        <x:fgColor rgb="FF999966"/>
      </x:patternFill>
    </x:fill>
    <x:fill>
      <x:patternFill patternType="solid">
        <x:fgColor rgb="FF669900"/>
      </x:patternFill>
    </x:fill>
    <x:fill>
      <x:patternFill patternType="solid">
        <x:fgColor rgb="FF669933"/>
      </x:patternFill>
    </x:fill>
    <x:fill>
      <x:patternFill patternType="solid">
        <x:fgColor rgb="FF99CC00"/>
      </x:patternFill>
    </x:fill>
    <x:fill>
      <x:patternFill patternType="solid">
        <x:fgColor rgb="FF99CC33"/>
      </x:patternFill>
    </x:fill>
    <x:fill>
      <x:patternFill patternType="solid">
        <x:fgColor rgb="FF336600"/>
      </x:patternFill>
    </x:fill>
    <x:fill>
      <x:patternFill patternType="solid">
        <x:fgColor rgb="FF339900"/>
      </x:patternFill>
    </x:fill>
    <x:fill>
      <x:patternFill patternType="solid">
        <x:fgColor rgb="FF33CC00"/>
      </x:patternFill>
    </x:fill>
    <x:fill>
      <x:patternFill patternType="solid">
        <x:fgColor rgb="FF33FF00"/>
      </x:patternFill>
    </x:fill>
    <x:fill>
      <x:patternFill patternType="solid">
        <x:fgColor rgb="FF66CC00"/>
      </x:patternFill>
    </x:fill>
    <x:fill>
      <x:patternFill patternType="solid">
        <x:fgColor rgb="FF66FF00"/>
      </x:patternFill>
    </x:fill>
    <x:fill>
      <x:patternFill patternType="solid">
        <x:fgColor rgb="FF99FF00"/>
      </x:patternFill>
    </x:fill>
    <x:fill>
      <x:patternFill patternType="solid">
        <x:fgColor rgb="FF99FF33"/>
      </x:patternFill>
    </x:fill>
    <x:fill>
      <x:patternFill patternType="solid">
        <x:fgColor rgb="FFCCFF00"/>
      </x:patternFill>
    </x:fill>
    <x:fill>
      <x:patternFill patternType="solid">
        <x:fgColor rgb="FFCCFF33"/>
      </x:patternFill>
    </x:fill>
    <x:fill>
      <x:patternFill patternType="solid">
        <x:fgColor rgb="FFCCFF66"/>
      </x:patternFill>
    </x:fill>
    <x:fill>
      <x:patternFill patternType="solid">
        <x:fgColor rgb="FFCCFF99"/>
      </x:patternFill>
    </x:fill>
    <x:fill>
      <x:patternFill patternType="solid">
        <x:fgColor rgb="FFCCFFCC"/>
      </x:patternFill>
    </x:fill>
    <x:fill>
      <x:patternFill patternType="solid">
        <x:fgColor rgb="FF99CC66"/>
      </x:patternFill>
    </x:fill>
    <x:fill>
      <x:patternFill patternType="solid">
        <x:fgColor rgb="FF99CC99"/>
      </x:patternFill>
    </x:fill>
    <x:fill>
      <x:patternFill patternType="solid">
        <x:fgColor rgb="FF66CC33"/>
      </x:patternFill>
    </x:fill>
    <x:fill>
      <x:patternFill patternType="solid">
        <x:fgColor rgb="FF66CC66"/>
      </x:patternFill>
    </x:fill>
    <x:fill>
      <x:patternFill patternType="solid">
        <x:fgColor rgb="FF33CC33"/>
      </x:patternFill>
    </x:fill>
    <x:fill>
      <x:patternFill patternType="solid">
        <x:fgColor rgb="FF339933"/>
      </x:patternFill>
    </x:fill>
    <x:fill>
      <x:patternFill patternType="solid">
        <x:fgColor rgb="FF336633"/>
      </x:patternFill>
    </x:fill>
    <x:fill>
      <x:patternFill patternType="solid">
        <x:fgColor rgb="FF003300"/>
      </x:patternFill>
    </x:fill>
    <x:fill>
      <x:patternFill patternType="solid">
        <x:fgColor rgb="FF006600"/>
      </x:patternFill>
    </x:fill>
    <x:fill>
      <x:patternFill patternType="solid">
        <x:fgColor rgb="FF009900"/>
      </x:patternFill>
    </x:fill>
    <x:fill>
      <x:patternFill patternType="solid">
        <x:fgColor rgb="FF00CC00"/>
      </x:patternFill>
    </x:fill>
    <x:fill>
      <x:patternFill patternType="solid">
        <x:fgColor rgb="FF00FF00"/>
      </x:patternFill>
    </x:fill>
    <x:fill>
      <x:patternFill patternType="solid">
        <x:fgColor rgb="FF003333"/>
      </x:patternFill>
    </x:fill>
    <x:fill>
      <x:patternFill patternType="solid">
        <x:fgColor rgb="FF006633"/>
      </x:patternFill>
    </x:fill>
    <x:fill>
      <x:patternFill patternType="solid">
        <x:fgColor rgb="FF009933"/>
      </x:patternFill>
    </x:fill>
    <x:fill>
      <x:patternFill patternType="solid">
        <x:fgColor rgb="FF00CC33"/>
      </x:patternFill>
    </x:fill>
    <x:fill>
      <x:patternFill patternType="solid">
        <x:fgColor rgb="FF00FF33"/>
      </x:patternFill>
    </x:fill>
    <x:fill>
      <x:patternFill patternType="solid">
        <x:fgColor rgb="FF00FF66"/>
      </x:patternFill>
    </x:fill>
    <x:fill>
      <x:patternFill patternType="solid">
        <x:fgColor rgb="FF00FF99"/>
      </x:patternFill>
    </x:fill>
    <x:fill>
      <x:patternFill patternType="solid">
        <x:fgColor rgb="FF33FF66"/>
      </x:patternFill>
    </x:fill>
    <x:fill>
      <x:patternFill patternType="solid">
        <x:fgColor rgb="FF33FF99"/>
      </x:patternFill>
    </x:fill>
    <x:fill>
      <x:patternFill patternType="solid">
        <x:fgColor rgb="FF66FF66"/>
      </x:patternFill>
    </x:fill>
    <x:fill>
      <x:patternFill patternType="solid">
        <x:fgColor rgb="FF66FF99"/>
      </x:patternFill>
    </x:fill>
    <x:fill>
      <x:patternFill patternType="solid">
        <x:fgColor rgb="FF99FF66"/>
      </x:patternFill>
    </x:fill>
    <x:fill>
      <x:patternFill patternType="solid">
        <x:fgColor rgb="FF99FF99"/>
      </x:patternFill>
    </x:fill>
    <x:fill>
      <x:patternFill patternType="solid">
        <x:fgColor rgb="FF00CC66"/>
      </x:patternFill>
    </x:fill>
    <x:fill>
      <x:patternFill patternType="solid">
        <x:fgColor rgb="FF33CC66"/>
      </x:patternFill>
    </x:fill>
    <x:fill>
      <x:patternFill patternType="solid">
        <x:fgColor rgb="FF003366"/>
      </x:patternFill>
    </x:fill>
    <x:fill>
      <x:patternFill patternType="solid">
        <x:fgColor rgb="FF006666"/>
      </x:patternFill>
    </x:fill>
    <x:fill>
      <x:patternFill patternType="solid">
        <x:fgColor rgb="FF006699"/>
      </x:patternFill>
    </x:fill>
    <x:fill>
      <x:patternFill patternType="solid">
        <x:fgColor rgb="FF009966"/>
      </x:patternFill>
    </x:fill>
    <x:fill>
      <x:patternFill patternType="solid">
        <x:fgColor rgb="FF009999"/>
      </x:patternFill>
    </x:fill>
    <x:fill>
      <x:patternFill patternType="solid">
        <x:fgColor rgb="FF336666"/>
      </x:patternFill>
    </x:fill>
    <x:fill>
      <x:patternFill patternType="solid">
        <x:fgColor rgb="FF339966"/>
      </x:patternFill>
    </x:fill>
    <x:fill>
      <x:patternFill patternType="solid">
        <x:fgColor rgb="FF339999"/>
      </x:patternFill>
    </x:fill>
    <x:fill>
      <x:patternFill patternType="solid">
        <x:fgColor rgb="FF003399"/>
      </x:patternFill>
    </x:fill>
    <x:fill>
      <x:patternFill patternType="solid">
        <x:fgColor rgb="FF0033CC"/>
      </x:patternFill>
    </x:fill>
    <x:fill>
      <x:patternFill patternType="solid">
        <x:fgColor rgb="FF00CC99"/>
      </x:patternFill>
    </x:fill>
    <x:fill>
      <x:patternFill patternType="solid">
        <x:fgColor rgb="FF00CCCC"/>
      </x:patternFill>
    </x:fill>
    <x:fill>
      <x:patternFill patternType="solid">
        <x:fgColor rgb="FF00CCFF"/>
      </x:patternFill>
    </x:fill>
    <x:fill>
      <x:patternFill patternType="solid">
        <x:fgColor rgb="FF00FFCC"/>
      </x:patternFill>
    </x:fill>
    <x:fill>
      <x:patternFill patternType="solid">
        <x:fgColor rgb="FF00FFFF"/>
      </x:patternFill>
    </x:fill>
    <x:fill>
      <x:patternFill patternType="solid">
        <x:fgColor rgb="FF33CCCC"/>
      </x:patternFill>
    </x:fill>
    <x:fill>
      <x:patternFill patternType="solid">
        <x:fgColor rgb="FF33CCFF"/>
      </x:patternFill>
    </x:fill>
    <x:fill>
      <x:patternFill patternType="solid">
        <x:fgColor rgb="FF33FFCC"/>
      </x:patternFill>
    </x:fill>
    <x:fill>
      <x:patternFill patternType="solid">
        <x:fgColor rgb="FF33FFFF"/>
      </x:patternFill>
    </x:fill>
    <x:fill>
      <x:patternFill patternType="solid">
        <x:fgColor rgb="FF66FFFF"/>
      </x:patternFill>
    </x:fill>
    <x:fill>
      <x:patternFill patternType="solid">
        <x:fgColor rgb="FF66CCCC"/>
      </x:patternFill>
    </x:fill>
    <x:fill>
      <x:patternFill patternType="solid">
        <x:fgColor rgb="FF66CCFF"/>
      </x:patternFill>
    </x:fill>
    <x:fill>
      <x:patternFill patternType="solid">
        <x:fgColor rgb="FF66FFCC"/>
      </x:patternFill>
    </x:fill>
    <x:fill>
      <x:patternFill patternType="solid">
        <x:fgColor rgb="FF99CCCC"/>
      </x:patternFill>
    </x:fill>
    <x:fill>
      <x:patternFill patternType="solid">
        <x:fgColor rgb="FF99CCFF"/>
      </x:patternFill>
    </x:fill>
    <x:fill>
      <x:patternFill patternType="solid">
        <x:fgColor rgb="FF99FFCC"/>
      </x:patternFill>
    </x:fill>
    <x:fill>
      <x:patternFill patternType="solid">
        <x:fgColor rgb="FF99FFFF"/>
      </x:patternFill>
    </x:fill>
    <x:fill>
      <x:patternFill patternType="solid">
        <x:fgColor rgb="FFCCFFFF"/>
      </x:patternFill>
    </x:fill>
    <x:fill>
      <x:patternFill patternType="solid">
        <x:fgColor rgb="FF3399CC"/>
      </x:patternFill>
    </x:fill>
    <x:fill>
      <x:patternFill patternType="solid">
        <x:fgColor rgb="FF336699"/>
      </x:patternFill>
    </x:fill>
    <x:fill>
      <x:patternFill patternType="solid">
        <x:fgColor rgb="FF0066CC"/>
      </x:patternFill>
    </x:fill>
    <x:fill>
      <x:patternFill patternType="solid">
        <x:fgColor rgb="FF0066FF"/>
      </x:patternFill>
    </x:fill>
    <x:fill>
      <x:patternFill patternType="solid">
        <x:fgColor rgb="FF0099CC"/>
      </x:patternFill>
    </x:fill>
    <x:fill>
      <x:patternFill patternType="solid">
        <x:fgColor rgb="FF0099FF"/>
      </x:patternFill>
    </x:fill>
    <x:fill>
      <x:patternFill patternType="solid">
        <x:fgColor rgb="FF3366CC"/>
      </x:patternFill>
    </x:fill>
    <x:fill>
      <x:patternFill patternType="solid">
        <x:fgColor rgb="FF3366FF"/>
      </x:patternFill>
    </x:fill>
    <x:fill>
      <x:patternFill patternType="solid">
        <x:fgColor rgb="FF3399FF"/>
      </x:patternFill>
    </x:fill>
    <x:fill>
      <x:patternFill patternType="solid">
        <x:fgColor rgb="FF6699CC"/>
      </x:patternFill>
    </x:fill>
    <x:fill>
      <x:patternFill patternType="solid">
        <x:fgColor rgb="FF6699FF"/>
      </x:patternFill>
    </x:fill>
    <x:fill>
      <x:patternFill patternType="solid">
        <x:fgColor rgb="FF666699"/>
      </x:patternFill>
    </x:fill>
    <x:fill>
      <x:patternFill patternType="solid">
        <x:fgColor rgb="FF000033"/>
      </x:patternFill>
    </x:fill>
    <x:fill>
      <x:patternFill patternType="solid">
        <x:fgColor rgb="FF000066"/>
      </x:patternFill>
    </x:fill>
    <x:fill>
      <x:patternFill patternType="solid">
        <x:fgColor rgb="FF000099"/>
      </x:patternFill>
    </x:fill>
    <x:fill>
      <x:patternFill patternType="solid">
        <x:fgColor rgb="FF0000CC"/>
      </x:patternFill>
    </x:fill>
    <x:fill>
      <x:patternFill patternType="solid">
        <x:fgColor rgb="FF0000FF"/>
      </x:patternFill>
    </x:fill>
    <x:fill>
      <x:patternFill patternType="solid">
        <x:fgColor rgb="FF330033"/>
      </x:patternFill>
    </x:fill>
    <x:fill>
      <x:patternFill patternType="solid">
        <x:fgColor rgb="FF330066"/>
      </x:patternFill>
    </x:fill>
    <x:fill>
      <x:patternFill patternType="solid">
        <x:fgColor rgb="FF330099"/>
      </x:patternFill>
    </x:fill>
    <x:fill>
      <x:patternFill patternType="solid">
        <x:fgColor rgb="FF3300CC"/>
      </x:patternFill>
    </x:fill>
    <x:fill>
      <x:patternFill patternType="solid">
        <x:fgColor rgb="FF3300FF"/>
      </x:patternFill>
    </x:fill>
    <x:fill>
      <x:patternFill patternType="solid">
        <x:fgColor rgb="FF0033FF"/>
      </x:patternFill>
    </x:fill>
    <x:fill>
      <x:patternFill patternType="solid">
        <x:fgColor rgb="FF6666CC"/>
      </x:patternFill>
    </x:fill>
    <x:fill>
      <x:patternFill patternType="solid">
        <x:fgColor rgb="FF6666FF"/>
      </x:patternFill>
    </x:fill>
    <x:fill>
      <x:patternFill patternType="solid">
        <x:fgColor rgb="FF9999CC"/>
      </x:patternFill>
    </x:fill>
    <x:fill>
      <x:patternFill patternType="solid">
        <x:fgColor rgb="FF9999FF"/>
      </x:patternFill>
    </x:fill>
    <x:fill>
      <x:patternFill patternType="solid">
        <x:fgColor rgb="FFCCCCFF"/>
      </x:patternFill>
    </x:fill>
    <x:fill>
      <x:patternFill patternType="solid">
        <x:fgColor rgb="FF333366"/>
      </x:patternFill>
    </x:fill>
    <x:fill>
      <x:patternFill patternType="solid">
        <x:fgColor rgb="FF333399"/>
      </x:patternFill>
    </x:fill>
    <x:fill>
      <x:patternFill patternType="solid">
        <x:fgColor rgb="FF3333CC"/>
      </x:patternFill>
    </x:fill>
    <x:fill>
      <x:patternFill patternType="solid">
        <x:fgColor rgb="FF3333FF"/>
      </x:patternFill>
    </x:fill>
    <x:fill>
      <x:patternFill patternType="solid">
        <x:fgColor rgb="FF660033"/>
      </x:patternFill>
    </x:fill>
    <x:fill>
      <x:patternFill patternType="solid">
        <x:fgColor rgb="FF660066"/>
      </x:patternFill>
    </x:fill>
    <x:fill>
      <x:patternFill patternType="solid">
        <x:fgColor rgb="FF660099"/>
      </x:patternFill>
    </x:fill>
    <x:fill>
      <x:patternFill patternType="solid">
        <x:fgColor rgb="FF6600CC"/>
      </x:patternFill>
    </x:fill>
    <x:fill>
      <x:patternFill patternType="solid">
        <x:fgColor rgb="FF6600FF"/>
      </x:patternFill>
    </x:fill>
    <x:fill>
      <x:patternFill patternType="solid">
        <x:fgColor rgb="FF990033"/>
      </x:patternFill>
    </x:fill>
    <x:fill>
      <x:patternFill patternType="solid">
        <x:fgColor rgb="FF990066"/>
      </x:patternFill>
    </x:fill>
    <x:fill>
      <x:patternFill patternType="solid">
        <x:fgColor rgb="FF990099"/>
      </x:patternFill>
    </x:fill>
    <x:fill>
      <x:patternFill patternType="solid">
        <x:fgColor rgb="FF9900CC"/>
      </x:patternFill>
    </x:fill>
    <x:fill>
      <x:patternFill patternType="solid">
        <x:fgColor rgb="FF9900FF"/>
      </x:patternFill>
    </x:fill>
    <x:fill>
      <x:patternFill patternType="solid">
        <x:fgColor rgb="FFCC0033"/>
      </x:patternFill>
    </x:fill>
    <x:fill>
      <x:patternFill patternType="solid">
        <x:fgColor rgb="FFCC0066"/>
      </x:patternFill>
    </x:fill>
    <x:fill>
      <x:patternFill patternType="solid">
        <x:fgColor rgb="FFCC0099"/>
      </x:patternFill>
    </x:fill>
    <x:fill>
      <x:patternFill patternType="solid">
        <x:fgColor rgb="FFCC00CC"/>
      </x:patternFill>
    </x:fill>
    <x:fill>
      <x:patternFill patternType="solid">
        <x:fgColor rgb="FFCC00FF"/>
      </x:patternFill>
    </x:fill>
    <x:fill>
      <x:patternFill patternType="solid">
        <x:fgColor rgb="FF663366"/>
      </x:patternFill>
    </x:fill>
    <x:fill>
      <x:patternFill patternType="solid">
        <x:fgColor rgb="FF663399"/>
      </x:patternFill>
    </x:fill>
    <x:fill>
      <x:patternFill patternType="solid">
        <x:fgColor rgb="FF6633CC"/>
      </x:patternFill>
    </x:fill>
    <x:fill>
      <x:patternFill patternType="solid">
        <x:fgColor rgb="FF6633FF"/>
      </x:patternFill>
    </x:fill>
    <x:fill>
      <x:patternFill patternType="solid">
        <x:fgColor rgb="FF993366"/>
      </x:patternFill>
    </x:fill>
    <x:fill>
      <x:patternFill patternType="solid">
        <x:fgColor rgb="FF993399"/>
      </x:patternFill>
    </x:fill>
    <x:fill>
      <x:patternFill patternType="solid">
        <x:fgColor rgb="FF9933CC"/>
      </x:patternFill>
    </x:fill>
    <x:fill>
      <x:patternFill patternType="solid">
        <x:fgColor rgb="FF9933FF"/>
      </x:patternFill>
    </x:fill>
    <x:fill>
      <x:patternFill patternType="solid">
        <x:fgColor rgb="FFCC3366"/>
      </x:patternFill>
    </x:fill>
    <x:fill>
      <x:patternFill patternType="solid">
        <x:fgColor rgb="FFCC3399"/>
      </x:patternFill>
    </x:fill>
    <x:fill>
      <x:patternFill patternType="solid">
        <x:fgColor rgb="FFCC33CC"/>
      </x:patternFill>
    </x:fill>
    <x:fill>
      <x:patternFill patternType="solid">
        <x:fgColor rgb="FFCC33FF"/>
      </x:patternFill>
    </x:fill>
    <x:fill>
      <x:patternFill patternType="solid">
        <x:fgColor rgb="FF996699"/>
      </x:patternFill>
    </x:fill>
    <x:fill>
      <x:patternFill patternType="solid">
        <x:fgColor rgb="FF9966CC"/>
      </x:patternFill>
    </x:fill>
    <x:fill>
      <x:patternFill patternType="solid">
        <x:fgColor rgb="FF9966FF"/>
      </x:patternFill>
    </x:fill>
    <x:fill>
      <x:patternFill patternType="solid">
        <x:fgColor rgb="FFFF0033"/>
      </x:patternFill>
    </x:fill>
    <x:fill>
      <x:patternFill patternType="solid">
        <x:fgColor rgb="FFFF0066"/>
      </x:patternFill>
    </x:fill>
    <x:fill>
      <x:patternFill patternType="solid">
        <x:fgColor rgb="FFFF0099"/>
      </x:patternFill>
    </x:fill>
    <x:fill>
      <x:patternFill patternType="solid">
        <x:fgColor rgb="FFFF00CC"/>
      </x:patternFill>
    </x:fill>
    <x:fill>
      <x:patternFill patternType="solid">
        <x:fgColor rgb="FFFF00FF"/>
      </x:patternFill>
    </x:fill>
    <x:fill>
      <x:patternFill patternType="solid">
        <x:fgColor rgb="FFFF3366"/>
      </x:patternFill>
    </x:fill>
    <x:fill>
      <x:patternFill patternType="solid">
        <x:fgColor rgb="FFFF3399"/>
      </x:patternFill>
    </x:fill>
    <x:fill>
      <x:patternFill patternType="solid">
        <x:fgColor rgb="FFFF33CC"/>
      </x:patternFill>
    </x:fill>
    <x:fill>
      <x:patternFill patternType="solid">
        <x:fgColor rgb="FFFF33FF"/>
      </x:patternFill>
    </x:fill>
    <x:fill>
      <x:patternFill patternType="solid">
        <x:fgColor rgb="FFCC6699"/>
      </x:patternFill>
    </x:fill>
    <x:fill>
      <x:patternFill patternType="solid">
        <x:fgColor rgb="FFCC66CC"/>
      </x:patternFill>
    </x:fill>
    <x:fill>
      <x:patternFill patternType="solid">
        <x:fgColor rgb="FFCC66FF"/>
      </x:patternFill>
    </x:fill>
    <x:fill>
      <x:patternFill patternType="solid">
        <x:fgColor rgb="FFFF6699"/>
      </x:patternFill>
    </x:fill>
    <x:fill>
      <x:patternFill patternType="solid">
        <x:fgColor rgb="FFFF66CC"/>
      </x:patternFill>
    </x:fill>
    <x:fill>
      <x:patternFill patternType="solid">
        <x:fgColor rgb="FFFF66FF"/>
      </x:patternFill>
    </x:fill>
    <x:fill>
      <x:patternFill patternType="solid">
        <x:fgColor rgb="FFCC99CC"/>
      </x:patternFill>
    </x:fill>
    <x:fill>
      <x:patternFill patternType="solid">
        <x:fgColor rgb="FFCC99FF"/>
      </x:patternFill>
    </x:fill>
    <x:fill>
      <x:patternFill patternType="solid">
        <x:fgColor rgb="FFFF99CC"/>
      </x:patternFill>
    </x:fill>
    <x:fill>
      <x:patternFill patternType="solid">
        <x:fgColor rgb="FFFF99FF"/>
      </x:patternFill>
    </x:fill>
    <x:fill>
      <x:patternFill patternType="solid">
        <x:fgColor rgb="FFFFCCFF"/>
      </x:patternFill>
    </x:fill>
    <x:fill>
      <x:patternFill patternType="solid">
        <x:fgColor rgb="FF669966"/>
      </x:patternFill>
    </x:fill>
    <x:fill>
      <x:patternFill patternType="solid">
        <x:fgColor rgb="FF669999"/>
      </x:patternFill>
    </x:fill>
    <x:fill>
      <x:patternFill patternType="solid">
        <x:fgColor rgb="FFCC9999"/>
      </x:patternFill>
    </x:fill>
    <x:fill>
      <x:patternFill patternType="solid">
        <x:fgColor rgb="FFFFCC99"/>
      </x:patternFill>
    </x:fill>
    <x:fill>
      <x:patternFill patternType="solid">
        <x:fgColor rgb="FFFFCCCC"/>
      </x:patternFill>
    </x:fill>
    <x:fill>
      <x:patternFill patternType="solid">
        <x:fgColor rgb="FF330011"/>
      </x:patternFill>
    </x:fill>
    <x:fill>
      <x:patternFill patternType="solid">
        <x:fgColor rgb="FF331100"/>
      </x:patternFill>
    </x:fill>
    <x:fill>
      <x:patternFill patternType="solid">
        <x:fgColor rgb="FF110033"/>
      </x:patternFill>
    </x:fill>
    <x:fill>
      <x:patternFill patternType="solid">
        <x:fgColor rgb="FF001133"/>
      </x:patternFill>
    </x:fill>
    <x:fill>
      <x:patternFill patternType="solid">
        <x:fgColor rgb="FF003311"/>
      </x:patternFill>
    </x:fill>
    <x:fill>
      <x:patternFill patternType="solid">
        <x:fgColor rgb="FF000000"/>
      </x:patternFill>
    </x:fill>
    <x:fill>
      <x:patternFill patternType="solid">
        <x:fgColor rgb="FF333333"/>
      </x:patternFill>
    </x:fill>
    <x:fill>
      <x:patternFill patternType="solid">
        <x:fgColor rgb="FF666666"/>
      </x:patternFill>
    </x:fill>
    <x:fill>
      <x:patternFill patternType="solid">
        <x:fgColor rgb="FF999999"/>
      </x:patternFill>
    </x:fill>
    <x:fill>
      <x:patternFill patternType="solid">
        <x:fgColor rgb="FFCCCCC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48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0" fontId="11" fillId="5" borderId="0" xfId="0" applyNumberFormat="1" applyFont="1" applyFill="1" applyBorder="1" applyAlignment="1">
      <x:alignment vertical="center"/>
    </x:xf>
    <x:xf numFmtId="201" fontId="11" fillId="5" borderId="0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8" fillId="15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8" fillId="17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8" fillId="18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8" fillId="19" borderId="0" xfId="0" applyNumberFormat="1" applyFont="1" applyFill="1" applyBorder="1" applyAlignment="1">
      <x:alignment vertical="center"/>
    </x:xf>
    <x:xf numFmtId="0" fontId="1" fillId="20" borderId="0" xfId="0" applyNumberFormat="1" applyFont="1" applyFill="1" applyBorder="1" applyAlignment="1">
      <x:alignment vertical="center"/>
    </x:xf>
    <x:xf numFmtId="0" fontId="8" fillId="20" borderId="0" xfId="0" applyNumberFormat="1" applyFont="1" applyFill="1" applyBorder="1" applyAlignment="1">
      <x:alignment vertical="center"/>
    </x:xf>
    <x:xf numFmtId="0" fontId="1" fillId="21" borderId="0" xfId="0" applyNumberFormat="1" applyFont="1" applyFill="1" applyBorder="1" applyAlignment="1">
      <x:alignment vertical="center"/>
    </x:xf>
    <x:xf numFmtId="0" fontId="4" fillId="21" borderId="0" xfId="0" applyNumberFormat="1" applyFont="1" applyFill="1" applyBorder="1" applyAlignment="1">
      <x:alignment vertical="center"/>
    </x:xf>
    <x:xf numFmtId="0" fontId="1" fillId="22" borderId="0" xfId="0" applyNumberFormat="1" applyFont="1" applyFill="1" applyBorder="1" applyAlignment="1">
      <x:alignment vertical="center"/>
    </x:xf>
    <x:xf numFmtId="0" fontId="4" fillId="22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/>
    </x:xf>
    <x:xf numFmtId="0" fontId="4" fillId="23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vertical="center"/>
    </x:xf>
    <x:xf numFmtId="0" fontId="8" fillId="24" borderId="0" xfId="0" applyNumberFormat="1" applyFont="1" applyFill="1" applyBorder="1" applyAlignment="1">
      <x:alignment vertical="center"/>
    </x:xf>
    <x:xf numFmtId="0" fontId="1" fillId="25" borderId="0" xfId="0" applyNumberFormat="1" applyFont="1" applyFill="1" applyBorder="1" applyAlignment="1">
      <x:alignment vertical="center"/>
    </x:xf>
    <x:xf numFmtId="0" fontId="4" fillId="25" borderId="0" xfId="0" applyNumberFormat="1" applyFont="1" applyFill="1" applyBorder="1" applyAlignment="1">
      <x:alignment vertical="center"/>
    </x:xf>
    <x:xf numFmtId="0" fontId="1" fillId="26" borderId="0" xfId="0" applyNumberFormat="1" applyFont="1" applyFill="1" applyBorder="1" applyAlignment="1">
      <x:alignment vertical="center"/>
    </x:xf>
    <x:xf numFmtId="0" fontId="8" fillId="26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/>
    </x:xf>
    <x:xf numFmtId="0" fontId="8" fillId="27" borderId="0" xfId="0" applyNumberFormat="1" applyFont="1" applyFill="1" applyBorder="1" applyAlignment="1">
      <x:alignment vertical="center"/>
    </x:xf>
    <x:xf numFmtId="0" fontId="1" fillId="28" borderId="0" xfId="0" applyNumberFormat="1" applyFont="1" applyFill="1" applyBorder="1" applyAlignment="1">
      <x:alignment vertical="center"/>
    </x:xf>
    <x:xf numFmtId="0" fontId="8" fillId="28" borderId="0" xfId="0" applyNumberFormat="1" applyFont="1" applyFill="1" applyBorder="1" applyAlignment="1">
      <x:alignment vertical="center"/>
    </x:xf>
    <x:xf numFmtId="0" fontId="1" fillId="29" borderId="0" xfId="0" applyNumberFormat="1" applyFont="1" applyFill="1" applyBorder="1" applyAlignment="1">
      <x:alignment vertical="center"/>
    </x:xf>
    <x:xf numFmtId="0" fontId="8" fillId="29" borderId="0" xfId="0" applyNumberFormat="1" applyFont="1" applyFill="1" applyBorder="1" applyAlignment="1">
      <x:alignment vertical="center"/>
    </x:xf>
    <x:xf numFmtId="0" fontId="1" fillId="30" borderId="0" xfId="0" applyNumberFormat="1" applyFont="1" applyFill="1" applyBorder="1" applyAlignment="1">
      <x:alignment vertical="center"/>
    </x:xf>
    <x:xf numFmtId="0" fontId="8" fillId="30" borderId="0" xfId="0" applyNumberFormat="1" applyFont="1" applyFill="1" applyBorder="1" applyAlignment="1">
      <x:alignment vertical="center"/>
    </x:xf>
    <x:xf numFmtId="0" fontId="1" fillId="31" borderId="0" xfId="0" applyNumberFormat="1" applyFont="1" applyFill="1" applyBorder="1" applyAlignment="1">
      <x:alignment vertical="center"/>
    </x:xf>
    <x:xf numFmtId="0" fontId="4" fillId="31" borderId="0" xfId="0" applyNumberFormat="1" applyFont="1" applyFill="1" applyBorder="1" applyAlignment="1">
      <x:alignment vertical="center"/>
    </x:xf>
    <x:xf numFmtId="0" fontId="1" fillId="32" borderId="0" xfId="0" applyNumberFormat="1" applyFont="1" applyFill="1" applyBorder="1" applyAlignment="1">
      <x:alignment vertical="center"/>
    </x:xf>
    <x:xf numFmtId="0" fontId="8" fillId="32" borderId="0" xfId="0" applyNumberFormat="1" applyFont="1" applyFill="1" applyBorder="1" applyAlignment="1">
      <x:alignment vertical="center"/>
    </x:xf>
    <x:xf numFmtId="0" fontId="1" fillId="33" borderId="0" xfId="0" applyNumberFormat="1" applyFont="1" applyFill="1" applyBorder="1" applyAlignment="1">
      <x:alignment vertical="center"/>
    </x:xf>
    <x:xf numFmtId="0" fontId="8" fillId="33" borderId="0" xfId="0" applyNumberFormat="1" applyFont="1" applyFill="1" applyBorder="1" applyAlignment="1">
      <x:alignment vertical="center"/>
    </x:xf>
    <x:xf numFmtId="0" fontId="1" fillId="34" borderId="0" xfId="0" applyNumberFormat="1" applyFont="1" applyFill="1" applyBorder="1" applyAlignment="1">
      <x:alignment vertical="center"/>
    </x:xf>
    <x:xf numFmtId="0" fontId="8" fillId="34" borderId="0" xfId="0" applyNumberFormat="1" applyFont="1" applyFill="1" applyBorder="1" applyAlignment="1">
      <x:alignment vertical="center"/>
    </x:xf>
    <x:xf numFmtId="0" fontId="1" fillId="35" borderId="0" xfId="0" applyNumberFormat="1" applyFont="1" applyFill="1" applyBorder="1" applyAlignment="1">
      <x:alignment vertical="center"/>
    </x:xf>
    <x:xf numFmtId="0" fontId="8" fillId="35" borderId="0" xfId="0" applyNumberFormat="1" applyFont="1" applyFill="1" applyBorder="1" applyAlignment="1">
      <x:alignment vertical="center"/>
    </x:xf>
    <x:xf numFmtId="0" fontId="1" fillId="36" borderId="0" xfId="0" applyNumberFormat="1" applyFont="1" applyFill="1" applyBorder="1" applyAlignment="1">
      <x:alignment vertical="center"/>
    </x:xf>
    <x:xf numFmtId="0" fontId="8" fillId="36" borderId="0" xfId="0" applyNumberFormat="1" applyFont="1" applyFill="1" applyBorder="1" applyAlignment="1">
      <x:alignment vertical="center"/>
    </x:xf>
    <x:xf numFmtId="0" fontId="1" fillId="37" borderId="0" xfId="0" applyNumberFormat="1" applyFont="1" applyFill="1" applyBorder="1" applyAlignment="1">
      <x:alignment vertical="center"/>
    </x:xf>
    <x:xf numFmtId="0" fontId="8" fillId="37" borderId="0" xfId="0" applyNumberFormat="1" applyFont="1" applyFill="1" applyBorder="1" applyAlignment="1">
      <x:alignment vertical="center"/>
    </x:xf>
    <x:xf numFmtId="0" fontId="1" fillId="38" borderId="0" xfId="0" applyNumberFormat="1" applyFont="1" applyFill="1" applyBorder="1" applyAlignment="1">
      <x:alignment vertical="center"/>
    </x:xf>
    <x:xf numFmtId="0" fontId="8" fillId="38" borderId="0" xfId="0" applyNumberFormat="1" applyFont="1" applyFill="1" applyBorder="1" applyAlignment="1">
      <x:alignment vertical="center"/>
    </x:xf>
    <x:xf numFmtId="0" fontId="1" fillId="39" borderId="0" xfId="0" applyNumberFormat="1" applyFont="1" applyFill="1" applyBorder="1" applyAlignment="1">
      <x:alignment vertical="center"/>
    </x:xf>
    <x:xf numFmtId="0" fontId="8" fillId="39" borderId="0" xfId="0" applyNumberFormat="1" applyFont="1" applyFill="1" applyBorder="1" applyAlignment="1">
      <x:alignment vertical="center"/>
    </x:xf>
    <x:xf numFmtId="0" fontId="1" fillId="40" borderId="0" xfId="0" applyNumberFormat="1" applyFont="1" applyFill="1" applyBorder="1" applyAlignment="1">
      <x:alignment vertical="center"/>
    </x:xf>
    <x:xf numFmtId="0" fontId="8" fillId="40" borderId="0" xfId="0" applyNumberFormat="1" applyFont="1" applyFill="1" applyBorder="1" applyAlignment="1">
      <x:alignment vertical="center"/>
    </x:xf>
    <x:xf numFmtId="0" fontId="1" fillId="41" borderId="0" xfId="0" applyNumberFormat="1" applyFont="1" applyFill="1" applyBorder="1" applyAlignment="1">
      <x:alignment vertical="center"/>
    </x:xf>
    <x:xf numFmtId="0" fontId="8" fillId="41" borderId="0" xfId="0" applyNumberFormat="1" applyFont="1" applyFill="1" applyBorder="1" applyAlignment="1">
      <x:alignment vertical="center"/>
    </x:xf>
    <x:xf numFmtId="0" fontId="1" fillId="42" borderId="0" xfId="0" applyNumberFormat="1" applyFont="1" applyFill="1" applyBorder="1" applyAlignment="1">
      <x:alignment vertical="center"/>
    </x:xf>
    <x:xf numFmtId="0" fontId="8" fillId="42" borderId="0" xfId="0" applyNumberFormat="1" applyFont="1" applyFill="1" applyBorder="1" applyAlignment="1">
      <x:alignment vertical="center"/>
    </x:xf>
    <x:xf numFmtId="0" fontId="1" fillId="43" borderId="0" xfId="0" applyNumberFormat="1" applyFont="1" applyFill="1" applyBorder="1" applyAlignment="1">
      <x:alignment vertical="center"/>
    </x:xf>
    <x:xf numFmtId="0" fontId="8" fillId="43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 applyAlignment="1">
      <x:alignment vertical="center"/>
    </x:xf>
    <x:xf numFmtId="0" fontId="8" fillId="44" borderId="0" xfId="0" applyNumberFormat="1" applyFont="1" applyFill="1" applyBorder="1" applyAlignment="1">
      <x:alignment vertical="center"/>
    </x:xf>
    <x:xf numFmtId="0" fontId="1" fillId="45" borderId="0" xfId="0" applyNumberFormat="1" applyFont="1" applyFill="1" applyBorder="1" applyAlignment="1">
      <x:alignment vertical="center"/>
    </x:xf>
    <x:xf numFmtId="0" fontId="8" fillId="45" borderId="0" xfId="0" applyNumberFormat="1" applyFont="1" applyFill="1" applyBorder="1" applyAlignment="1">
      <x:alignment vertical="center"/>
    </x:xf>
    <x:xf numFmtId="0" fontId="1" fillId="46" borderId="0" xfId="0" applyNumberFormat="1" applyFont="1" applyFill="1" applyBorder="1" applyAlignment="1">
      <x:alignment vertical="center"/>
    </x:xf>
    <x:xf numFmtId="0" fontId="4" fillId="46" borderId="0" xfId="0" applyNumberFormat="1" applyFont="1" applyFill="1" applyBorder="1" applyAlignment="1">
      <x:alignment vertical="center"/>
    </x:xf>
    <x:xf numFmtId="0" fontId="1" fillId="47" borderId="0" xfId="0" applyNumberFormat="1" applyFont="1" applyFill="1" applyBorder="1" applyAlignment="1">
      <x:alignment vertical="center"/>
    </x:xf>
    <x:xf numFmtId="0" fontId="4" fillId="47" borderId="0" xfId="0" applyNumberFormat="1" applyFont="1" applyFill="1" applyBorder="1" applyAlignment="1">
      <x:alignment vertical="center"/>
    </x:xf>
    <x:xf numFmtId="0" fontId="1" fillId="48" borderId="0" xfId="0" applyNumberFormat="1" applyFont="1" applyFill="1" applyBorder="1" applyAlignment="1">
      <x:alignment vertical="center"/>
    </x:xf>
    <x:xf numFmtId="0" fontId="4" fillId="48" borderId="0" xfId="0" applyNumberFormat="1" applyFont="1" applyFill="1" applyBorder="1" applyAlignment="1">
      <x:alignment vertical="center"/>
    </x:xf>
    <x:xf numFmtId="0" fontId="1" fillId="49" borderId="0" xfId="0" applyNumberFormat="1" applyFont="1" applyFill="1" applyBorder="1" applyAlignment="1">
      <x:alignment vertical="center"/>
    </x:xf>
    <x:xf numFmtId="0" fontId="8" fillId="49" borderId="0" xfId="0" applyNumberFormat="1" applyFont="1" applyFill="1" applyBorder="1" applyAlignment="1">
      <x:alignment vertical="center"/>
    </x:xf>
    <x:xf numFmtId="0" fontId="1" fillId="50" borderId="0" xfId="0" applyNumberFormat="1" applyFont="1" applyFill="1" applyBorder="1" applyAlignment="1">
      <x:alignment vertical="center"/>
    </x:xf>
    <x:xf numFmtId="0" fontId="8" fillId="50" borderId="0" xfId="0" applyNumberFormat="1" applyFont="1" applyFill="1" applyBorder="1" applyAlignment="1">
      <x:alignment vertical="center"/>
    </x:xf>
    <x:xf numFmtId="0" fontId="1" fillId="51" borderId="0" xfId="0" applyNumberFormat="1" applyFont="1" applyFill="1" applyBorder="1" applyAlignment="1">
      <x:alignment vertical="center"/>
    </x:xf>
    <x:xf numFmtId="0" fontId="8" fillId="51" borderId="0" xfId="0" applyNumberFormat="1" applyFont="1" applyFill="1" applyBorder="1" applyAlignment="1">
      <x:alignment vertical="center"/>
    </x:xf>
    <x:xf numFmtId="0" fontId="1" fillId="52" borderId="0" xfId="0" applyNumberFormat="1" applyFont="1" applyFill="1" applyBorder="1" applyAlignment="1">
      <x:alignment vertical="center"/>
    </x:xf>
    <x:xf numFmtId="0" fontId="8" fillId="52" borderId="0" xfId="0" applyNumberFormat="1" applyFont="1" applyFill="1" applyBorder="1" applyAlignment="1">
      <x:alignment vertical="center"/>
    </x:xf>
    <x:xf numFmtId="0" fontId="1" fillId="53" borderId="0" xfId="0" applyNumberFormat="1" applyFont="1" applyFill="1" applyBorder="1" applyAlignment="1">
      <x:alignment vertical="center"/>
    </x:xf>
    <x:xf numFmtId="0" fontId="8" fillId="53" borderId="0" xfId="0" applyNumberFormat="1" applyFont="1" applyFill="1" applyBorder="1" applyAlignment="1">
      <x:alignment vertical="center"/>
    </x:xf>
    <x:xf numFmtId="0" fontId="1" fillId="54" borderId="0" xfId="0" applyNumberFormat="1" applyFont="1" applyFill="1" applyBorder="1" applyAlignment="1">
      <x:alignment vertical="center"/>
    </x:xf>
    <x:xf numFmtId="0" fontId="8" fillId="54" borderId="0" xfId="0" applyNumberFormat="1" applyFont="1" applyFill="1" applyBorder="1" applyAlignment="1">
      <x:alignment vertical="center"/>
    </x:xf>
    <x:xf numFmtId="0" fontId="1" fillId="55" borderId="0" xfId="0" applyNumberFormat="1" applyFont="1" applyFill="1" applyBorder="1" applyAlignment="1">
      <x:alignment vertical="center"/>
    </x:xf>
    <x:xf numFmtId="0" fontId="8" fillId="55" borderId="0" xfId="0" applyNumberFormat="1" applyFont="1" applyFill="1" applyBorder="1" applyAlignment="1">
      <x:alignment vertical="center"/>
    </x:xf>
    <x:xf numFmtId="0" fontId="1" fillId="56" borderId="0" xfId="0" applyNumberFormat="1" applyFont="1" applyFill="1" applyBorder="1" applyAlignment="1">
      <x:alignment vertical="center"/>
    </x:xf>
    <x:xf numFmtId="0" fontId="4" fillId="56" borderId="0" xfId="0" applyNumberFormat="1" applyFont="1" applyFill="1" applyBorder="1" applyAlignment="1">
      <x:alignment vertical="center"/>
    </x:xf>
    <x:xf numFmtId="0" fontId="1" fillId="57" borderId="0" xfId="0" applyNumberFormat="1" applyFont="1" applyFill="1" applyBorder="1" applyAlignment="1">
      <x:alignment vertical="center"/>
    </x:xf>
    <x:xf numFmtId="0" fontId="8" fillId="57" borderId="0" xfId="0" applyNumberFormat="1" applyFont="1" applyFill="1" applyBorder="1" applyAlignment="1">
      <x:alignment vertical="center"/>
    </x:xf>
    <x:xf numFmtId="0" fontId="1" fillId="58" borderId="0" xfId="0" applyNumberFormat="1" applyFont="1" applyFill="1" applyBorder="1" applyAlignment="1">
      <x:alignment vertical="center"/>
    </x:xf>
    <x:xf numFmtId="0" fontId="8" fillId="58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8" fillId="59" borderId="0" xfId="0" applyNumberFormat="1" applyFont="1" applyFill="1" applyBorder="1" applyAlignment="1">
      <x:alignment vertical="center"/>
    </x:xf>
    <x:xf numFmtId="0" fontId="1" fillId="60" borderId="0" xfId="0" applyNumberFormat="1" applyFont="1" applyFill="1" applyBorder="1" applyAlignment="1">
      <x:alignment vertical="center"/>
    </x:xf>
    <x:xf numFmtId="0" fontId="8" fillId="60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/>
    </x:xf>
    <x:xf numFmtId="0" fontId="8" fillId="61" borderId="0" xfId="0" applyNumberFormat="1" applyFont="1" applyFill="1" applyBorder="1" applyAlignment="1">
      <x:alignment vertical="center"/>
    </x:xf>
    <x:xf numFmtId="0" fontId="1" fillId="62" borderId="0" xfId="0" applyNumberFormat="1" applyFont="1" applyFill="1" applyBorder="1" applyAlignment="1">
      <x:alignment vertical="center"/>
    </x:xf>
    <x:xf numFmtId="0" fontId="8" fillId="62" borderId="0" xfId="0" applyNumberFormat="1" applyFont="1" applyFill="1" applyBorder="1" applyAlignment="1">
      <x:alignment vertical="center"/>
    </x:xf>
    <x:xf numFmtId="0" fontId="1" fillId="63" borderId="0" xfId="0" applyNumberFormat="1" applyFont="1" applyFill="1" applyBorder="1" applyAlignment="1">
      <x:alignment vertical="center"/>
    </x:xf>
    <x:xf numFmtId="0" fontId="8" fillId="63" borderId="0" xfId="0" applyNumberFormat="1" applyFont="1" applyFill="1" applyBorder="1" applyAlignment="1">
      <x:alignment vertical="center"/>
    </x:xf>
    <x:xf numFmtId="0" fontId="1" fillId="64" borderId="0" xfId="0" applyNumberFormat="1" applyFont="1" applyFill="1" applyBorder="1" applyAlignment="1">
      <x:alignment vertical="center"/>
    </x:xf>
    <x:xf numFmtId="0" fontId="8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8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8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8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8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8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8" fillId="70" borderId="0" xfId="0" applyNumberFormat="1" applyFont="1" applyFill="1" applyBorder="1" applyAlignment="1">
      <x:alignment vertical="center"/>
    </x:xf>
    <x:xf numFmtId="0" fontId="1" fillId="71" borderId="0" xfId="0" applyNumberFormat="1" applyFont="1" applyFill="1" applyBorder="1" applyAlignment="1">
      <x:alignment vertical="center"/>
    </x:xf>
    <x:xf numFmtId="0" fontId="8" fillId="71" borderId="0" xfId="0" applyNumberFormat="1" applyFont="1" applyFill="1" applyBorder="1" applyAlignment="1">
      <x:alignment vertical="center"/>
    </x:xf>
    <x:xf numFmtId="0" fontId="1" fillId="72" borderId="0" xfId="0" applyNumberFormat="1" applyFont="1" applyFill="1" applyBorder="1" applyAlignment="1">
      <x:alignment vertical="center"/>
    </x:xf>
    <x:xf numFmtId="0" fontId="8" fillId="72" borderId="0" xfId="0" applyNumberFormat="1" applyFont="1" applyFill="1" applyBorder="1" applyAlignment="1">
      <x:alignment vertical="center"/>
    </x:xf>
    <x:xf numFmtId="0" fontId="1" fillId="73" borderId="0" xfId="0" applyNumberFormat="1" applyFont="1" applyFill="1" applyBorder="1" applyAlignment="1">
      <x:alignment vertical="center"/>
    </x:xf>
    <x:xf numFmtId="0" fontId="8" fillId="73" borderId="0" xfId="0" applyNumberFormat="1" applyFont="1" applyFill="1" applyBorder="1" applyAlignment="1">
      <x:alignment vertical="center"/>
    </x:xf>
    <x:xf numFmtId="0" fontId="1" fillId="74" borderId="0" xfId="0" applyNumberFormat="1" applyFont="1" applyFill="1" applyBorder="1" applyAlignment="1">
      <x:alignment vertical="center"/>
    </x:xf>
    <x:xf numFmtId="0" fontId="8" fillId="74" borderId="0" xfId="0" applyNumberFormat="1" applyFont="1" applyFill="1" applyBorder="1" applyAlignment="1">
      <x:alignment vertical="center"/>
    </x:xf>
    <x:xf numFmtId="0" fontId="1" fillId="75" borderId="0" xfId="0" applyNumberFormat="1" applyFont="1" applyFill="1" applyBorder="1" applyAlignment="1">
      <x:alignment vertical="center"/>
    </x:xf>
    <x:xf numFmtId="0" fontId="4" fillId="75" borderId="0" xfId="0" applyNumberFormat="1" applyFont="1" applyFill="1" applyBorder="1" applyAlignment="1">
      <x:alignment vertical="center"/>
    </x:xf>
    <x:xf numFmtId="0" fontId="1" fillId="76" borderId="0" xfId="0" applyNumberFormat="1" applyFont="1" applyFill="1" applyBorder="1" applyAlignment="1">
      <x:alignment vertical="center"/>
    </x:xf>
    <x:xf numFmtId="0" fontId="4" fillId="76" borderId="0" xfId="0" applyNumberFormat="1" applyFont="1" applyFill="1" applyBorder="1" applyAlignment="1">
      <x:alignment vertical="center"/>
    </x:xf>
    <x:xf numFmtId="0" fontId="1" fillId="77" borderId="0" xfId="0" applyNumberFormat="1" applyFont="1" applyFill="1" applyBorder="1" applyAlignment="1">
      <x:alignment vertical="center"/>
    </x:xf>
    <x:xf numFmtId="0" fontId="4" fillId="77" borderId="0" xfId="0" applyNumberFormat="1" applyFont="1" applyFill="1" applyBorder="1" applyAlignment="1">
      <x:alignment vertical="center"/>
    </x:xf>
    <x:xf numFmtId="0" fontId="1" fillId="78" borderId="0" xfId="0" applyNumberFormat="1" applyFont="1" applyFill="1" applyBorder="1" applyAlignment="1">
      <x:alignment vertical="center"/>
    </x:xf>
    <x:xf numFmtId="0" fontId="8" fillId="78" borderId="0" xfId="0" applyNumberFormat="1" applyFont="1" applyFill="1" applyBorder="1" applyAlignment="1">
      <x:alignment vertical="center"/>
    </x:xf>
    <x:xf numFmtId="0" fontId="1" fillId="79" borderId="0" xfId="0" applyNumberFormat="1" applyFont="1" applyFill="1" applyBorder="1" applyAlignment="1">
      <x:alignment vertical="center"/>
    </x:xf>
    <x:xf numFmtId="0" fontId="8" fillId="79" borderId="0" xfId="0" applyNumberFormat="1" applyFont="1" applyFill="1" applyBorder="1" applyAlignment="1">
      <x:alignment vertical="center"/>
    </x:xf>
    <x:xf numFmtId="0" fontId="1" fillId="80" borderId="0" xfId="0" applyNumberFormat="1" applyFont="1" applyFill="1" applyBorder="1" applyAlignment="1">
      <x:alignment vertical="center"/>
    </x:xf>
    <x:xf numFmtId="0" fontId="8" fillId="80" borderId="0" xfId="0" applyNumberFormat="1" applyFont="1" applyFill="1" applyBorder="1" applyAlignment="1">
      <x:alignment vertical="center"/>
    </x:xf>
    <x:xf numFmtId="0" fontId="1" fillId="81" borderId="0" xfId="0" applyNumberFormat="1" applyFont="1" applyFill="1" applyBorder="1" applyAlignment="1">
      <x:alignment vertical="center"/>
    </x:xf>
    <x:xf numFmtId="0" fontId="4" fillId="81" borderId="0" xfId="0" applyNumberFormat="1" applyFont="1" applyFill="1" applyBorder="1" applyAlignment="1">
      <x:alignment vertical="center"/>
    </x:xf>
    <x:xf numFmtId="0" fontId="1" fillId="82" borderId="0" xfId="0" applyNumberFormat="1" applyFont="1" applyFill="1" applyBorder="1" applyAlignment="1">
      <x:alignment vertical="center"/>
    </x:xf>
    <x:xf numFmtId="0" fontId="4" fillId="82" borderId="0" xfId="0" applyNumberFormat="1" applyFont="1" applyFill="1" applyBorder="1" applyAlignment="1">
      <x:alignment vertical="center"/>
    </x:xf>
    <x:xf numFmtId="0" fontId="1" fillId="83" borderId="0" xfId="0" applyNumberFormat="1" applyFont="1" applyFill="1" applyBorder="1" applyAlignment="1">
      <x:alignment vertical="center"/>
    </x:xf>
    <x:xf numFmtId="0" fontId="8" fillId="83" borderId="0" xfId="0" applyNumberFormat="1" applyFont="1" applyFill="1" applyBorder="1" applyAlignment="1">
      <x:alignment vertical="center"/>
    </x:xf>
    <x:xf numFmtId="0" fontId="1" fillId="84" borderId="0" xfId="0" applyNumberFormat="1" applyFont="1" applyFill="1" applyBorder="1" applyAlignment="1">
      <x:alignment vertical="center"/>
    </x:xf>
    <x:xf numFmtId="0" fontId="8" fillId="84" borderId="0" xfId="0" applyNumberFormat="1" applyFont="1" applyFill="1" applyBorder="1" applyAlignment="1">
      <x:alignment vertical="center"/>
    </x:xf>
    <x:xf numFmtId="0" fontId="1" fillId="85" borderId="0" xfId="0" applyNumberFormat="1" applyFont="1" applyFill="1" applyBorder="1" applyAlignment="1">
      <x:alignment vertical="center"/>
    </x:xf>
    <x:xf numFmtId="0" fontId="8" fillId="85" borderId="0" xfId="0" applyNumberFormat="1" applyFont="1" applyFill="1" applyBorder="1" applyAlignment="1">
      <x:alignment vertical="center"/>
    </x:xf>
    <x:xf numFmtId="0" fontId="1" fillId="86" borderId="0" xfId="0" applyNumberFormat="1" applyFont="1" applyFill="1" applyBorder="1" applyAlignment="1">
      <x:alignment vertical="center"/>
    </x:xf>
    <x:xf numFmtId="0" fontId="8" fillId="86" borderId="0" xfId="0" applyNumberFormat="1" applyFont="1" applyFill="1" applyBorder="1" applyAlignment="1">
      <x:alignment vertical="center"/>
    </x:xf>
    <x:xf numFmtId="0" fontId="1" fillId="87" borderId="0" xfId="0" applyNumberFormat="1" applyFont="1" applyFill="1" applyBorder="1" applyAlignment="1">
      <x:alignment vertical="center"/>
    </x:xf>
    <x:xf numFmtId="0" fontId="8" fillId="87" borderId="0" xfId="0" applyNumberFormat="1" applyFont="1" applyFill="1" applyBorder="1" applyAlignment="1">
      <x:alignment vertical="center"/>
    </x:xf>
    <x:xf numFmtId="0" fontId="1" fillId="88" borderId="0" xfId="0" applyNumberFormat="1" applyFont="1" applyFill="1" applyBorder="1" applyAlignment="1">
      <x:alignment vertical="center"/>
    </x:xf>
    <x:xf numFmtId="0" fontId="8" fillId="88" borderId="0" xfId="0" applyNumberFormat="1" applyFont="1" applyFill="1" applyBorder="1" applyAlignment="1">
      <x:alignment vertical="center"/>
    </x:xf>
    <x:xf numFmtId="0" fontId="1" fillId="89" borderId="0" xfId="0" applyNumberFormat="1" applyFont="1" applyFill="1" applyBorder="1" applyAlignment="1">
      <x:alignment vertical="center"/>
    </x:xf>
    <x:xf numFmtId="0" fontId="8" fillId="89" borderId="0" xfId="0" applyNumberFormat="1" applyFont="1" applyFill="1" applyBorder="1" applyAlignment="1">
      <x:alignment vertical="center"/>
    </x:xf>
    <x:xf numFmtId="0" fontId="1" fillId="90" borderId="0" xfId="0" applyNumberFormat="1" applyFont="1" applyFill="1" applyBorder="1" applyAlignment="1">
      <x:alignment vertical="center"/>
    </x:xf>
    <x:xf numFmtId="0" fontId="8" fillId="90" borderId="0" xfId="0" applyNumberFormat="1" applyFont="1" applyFill="1" applyBorder="1" applyAlignment="1">
      <x:alignment vertical="center"/>
    </x:xf>
    <x:xf numFmtId="0" fontId="1" fillId="91" borderId="0" xfId="0" applyNumberFormat="1" applyFont="1" applyFill="1" applyBorder="1" applyAlignment="1">
      <x:alignment vertical="center"/>
    </x:xf>
    <x:xf numFmtId="0" fontId="8" fillId="91" borderId="0" xfId="0" applyNumberFormat="1" applyFont="1" applyFill="1" applyBorder="1" applyAlignment="1">
      <x:alignment vertical="center"/>
    </x:xf>
    <x:xf numFmtId="0" fontId="1" fillId="92" borderId="0" xfId="0" applyNumberFormat="1" applyFont="1" applyFill="1" applyBorder="1" applyAlignment="1">
      <x:alignment vertical="center"/>
    </x:xf>
    <x:xf numFmtId="0" fontId="8" fillId="92" borderId="0" xfId="0" applyNumberFormat="1" applyFont="1" applyFill="1" applyBorder="1" applyAlignment="1">
      <x:alignment vertical="center"/>
    </x:xf>
    <x:xf numFmtId="0" fontId="1" fillId="93" borderId="0" xfId="0" applyNumberFormat="1" applyFont="1" applyFill="1" applyBorder="1" applyAlignment="1">
      <x:alignment vertical="center"/>
    </x:xf>
    <x:xf numFmtId="0" fontId="8" fillId="93" borderId="0" xfId="0" applyNumberFormat="1" applyFont="1" applyFill="1" applyBorder="1" applyAlignment="1">
      <x:alignment vertical="center"/>
    </x:xf>
    <x:xf numFmtId="0" fontId="1" fillId="94" borderId="0" xfId="0" applyNumberFormat="1" applyFont="1" applyFill="1" applyBorder="1" applyAlignment="1">
      <x:alignment vertical="center"/>
    </x:xf>
    <x:xf numFmtId="0" fontId="8" fillId="94" borderId="0" xfId="0" applyNumberFormat="1" applyFont="1" applyFill="1" applyBorder="1" applyAlignment="1">
      <x:alignment vertical="center"/>
    </x:xf>
    <x:xf numFmtId="0" fontId="1" fillId="95" borderId="0" xfId="0" applyNumberFormat="1" applyFont="1" applyFill="1" applyBorder="1" applyAlignment="1">
      <x:alignment vertical="center"/>
    </x:xf>
    <x:xf numFmtId="0" fontId="8" fillId="95" borderId="0" xfId="0" applyNumberFormat="1" applyFont="1" applyFill="1" applyBorder="1" applyAlignment="1">
      <x:alignment vertical="center"/>
    </x:xf>
    <x:xf numFmtId="0" fontId="1" fillId="96" borderId="0" xfId="0" applyNumberFormat="1" applyFont="1" applyFill="1" applyBorder="1" applyAlignment="1">
      <x:alignment vertical="center"/>
    </x:xf>
    <x:xf numFmtId="0" fontId="4" fillId="96" borderId="0" xfId="0" applyNumberFormat="1" applyFont="1" applyFill="1" applyBorder="1" applyAlignment="1">
      <x:alignment vertical="center"/>
    </x:xf>
    <x:xf numFmtId="0" fontId="1" fillId="97" borderId="0" xfId="0" applyNumberFormat="1" applyFont="1" applyFill="1" applyBorder="1" applyAlignment="1">
      <x:alignment vertical="center"/>
    </x:xf>
    <x:xf numFmtId="0" fontId="4" fillId="97" borderId="0" xfId="0" applyNumberFormat="1" applyFont="1" applyFill="1" applyBorder="1" applyAlignment="1">
      <x:alignment vertical="center"/>
    </x:xf>
    <x:xf numFmtId="0" fontId="1" fillId="98" borderId="0" xfId="0" applyNumberFormat="1" applyFont="1" applyFill="1" applyBorder="1" applyAlignment="1">
      <x:alignment vertical="center"/>
    </x:xf>
    <x:xf numFmtId="0" fontId="4" fillId="98" borderId="0" xfId="0" applyNumberFormat="1" applyFont="1" applyFill="1" applyBorder="1" applyAlignment="1">
      <x:alignment vertical="center"/>
    </x:xf>
    <x:xf numFmtId="0" fontId="1" fillId="99" borderId="0" xfId="0" applyNumberFormat="1" applyFont="1" applyFill="1" applyBorder="1" applyAlignment="1">
      <x:alignment vertical="center"/>
    </x:xf>
    <x:xf numFmtId="0" fontId="8" fillId="99" borderId="0" xfId="0" applyNumberFormat="1" applyFont="1" applyFill="1" applyBorder="1" applyAlignment="1">
      <x:alignment vertical="center"/>
    </x:xf>
    <x:xf numFmtId="0" fontId="1" fillId="100" borderId="0" xfId="0" applyNumberFormat="1" applyFont="1" applyFill="1" applyBorder="1" applyAlignment="1">
      <x:alignment vertical="center"/>
    </x:xf>
    <x:xf numFmtId="0" fontId="8" fillId="100" borderId="0" xfId="0" applyNumberFormat="1" applyFont="1" applyFill="1" applyBorder="1" applyAlignment="1">
      <x:alignment vertical="center"/>
    </x:xf>
    <x:xf numFmtId="0" fontId="1" fillId="101" borderId="0" xfId="0" applyNumberFormat="1" applyFont="1" applyFill="1" applyBorder="1" applyAlignment="1">
      <x:alignment vertical="center"/>
    </x:xf>
    <x:xf numFmtId="0" fontId="4" fillId="101" borderId="0" xfId="0" applyNumberFormat="1" applyFont="1" applyFill="1" applyBorder="1" applyAlignment="1">
      <x:alignment vertical="center"/>
    </x:xf>
    <x:xf numFmtId="0" fontId="1" fillId="102" borderId="0" xfId="0" applyNumberFormat="1" applyFont="1" applyFill="1" applyBorder="1" applyAlignment="1">
      <x:alignment vertical="center"/>
    </x:xf>
    <x:xf numFmtId="0" fontId="8" fillId="102" borderId="0" xfId="0" applyNumberFormat="1" applyFont="1" applyFill="1" applyBorder="1" applyAlignment="1">
      <x:alignment vertical="center"/>
    </x:xf>
    <x:xf numFmtId="0" fontId="1" fillId="103" borderId="0" xfId="0" applyNumberFormat="1" applyFont="1" applyFill="1" applyBorder="1" applyAlignment="1">
      <x:alignment vertical="center"/>
    </x:xf>
    <x:xf numFmtId="0" fontId="8" fillId="103" borderId="0" xfId="0" applyNumberFormat="1" applyFont="1" applyFill="1" applyBorder="1" applyAlignment="1">
      <x:alignment vertical="center"/>
    </x:xf>
    <x:xf numFmtId="0" fontId="1" fillId="104" borderId="0" xfId="0" applyNumberFormat="1" applyFont="1" applyFill="1" applyBorder="1" applyAlignment="1">
      <x:alignment vertical="center"/>
    </x:xf>
    <x:xf numFmtId="0" fontId="4" fillId="104" borderId="0" xfId="0" applyNumberFormat="1" applyFont="1" applyFill="1" applyBorder="1" applyAlignment="1">
      <x:alignment vertical="center"/>
    </x:xf>
    <x:xf numFmtId="0" fontId="1" fillId="105" borderId="0" xfId="0" applyNumberFormat="1" applyFont="1" applyFill="1" applyBorder="1" applyAlignment="1">
      <x:alignment vertical="center"/>
    </x:xf>
    <x:xf numFmtId="0" fontId="4" fillId="105" borderId="0" xfId="0" applyNumberFormat="1" applyFont="1" applyFill="1" applyBorder="1" applyAlignment="1">
      <x:alignment vertical="center"/>
    </x:xf>
    <x:xf numFmtId="0" fontId="1" fillId="106" borderId="0" xfId="0" applyNumberFormat="1" applyFont="1" applyFill="1" applyBorder="1" applyAlignment="1">
      <x:alignment vertical="center"/>
    </x:xf>
    <x:xf numFmtId="0" fontId="8" fillId="106" borderId="0" xfId="0" applyNumberFormat="1" applyFont="1" applyFill="1" applyBorder="1" applyAlignment="1">
      <x:alignment vertical="center"/>
    </x:xf>
    <x:xf numFmtId="0" fontId="1" fillId="107" borderId="0" xfId="0" applyNumberFormat="1" applyFont="1" applyFill="1" applyBorder="1" applyAlignment="1">
      <x:alignment vertical="center"/>
    </x:xf>
    <x:xf numFmtId="0" fontId="8" fillId="107" borderId="0" xfId="0" applyNumberFormat="1" applyFont="1" applyFill="1" applyBorder="1" applyAlignment="1">
      <x:alignment vertical="center"/>
    </x:xf>
    <x:xf numFmtId="0" fontId="1" fillId="108" borderId="0" xfId="0" applyNumberFormat="1" applyFont="1" applyFill="1" applyBorder="1" applyAlignment="1">
      <x:alignment vertical="center"/>
    </x:xf>
    <x:xf numFmtId="0" fontId="8" fillId="108" borderId="0" xfId="0" applyNumberFormat="1" applyFont="1" applyFill="1" applyBorder="1" applyAlignment="1">
      <x:alignment vertical="center"/>
    </x:xf>
    <x:xf numFmtId="0" fontId="1" fillId="109" borderId="0" xfId="0" applyNumberFormat="1" applyFont="1" applyFill="1" applyBorder="1" applyAlignment="1">
      <x:alignment vertical="center"/>
    </x:xf>
    <x:xf numFmtId="0" fontId="8" fillId="109" borderId="0" xfId="0" applyNumberFormat="1" applyFont="1" applyFill="1" applyBorder="1" applyAlignment="1">
      <x:alignment vertical="center"/>
    </x:xf>
    <x:xf numFmtId="0" fontId="1" fillId="110" borderId="0" xfId="0" applyNumberFormat="1" applyFont="1" applyFill="1" applyBorder="1" applyAlignment="1">
      <x:alignment vertical="center"/>
    </x:xf>
    <x:xf numFmtId="0" fontId="8" fillId="110" borderId="0" xfId="0" applyNumberFormat="1" applyFont="1" applyFill="1" applyBorder="1" applyAlignment="1">
      <x:alignment vertical="center"/>
    </x:xf>
    <x:xf numFmtId="0" fontId="1" fillId="111" borderId="0" xfId="0" applyNumberFormat="1" applyFont="1" applyFill="1" applyBorder="1" applyAlignment="1">
      <x:alignment vertical="center"/>
    </x:xf>
    <x:xf numFmtId="0" fontId="8" fillId="111" borderId="0" xfId="0" applyNumberFormat="1" applyFont="1" applyFill="1" applyBorder="1" applyAlignment="1">
      <x:alignment vertical="center"/>
    </x:xf>
    <x:xf numFmtId="0" fontId="1" fillId="112" borderId="0" xfId="0" applyNumberFormat="1" applyFont="1" applyFill="1" applyBorder="1" applyAlignment="1">
      <x:alignment vertical="center"/>
    </x:xf>
    <x:xf numFmtId="0" fontId="8" fillId="112" borderId="0" xfId="0" applyNumberFormat="1" applyFont="1" applyFill="1" applyBorder="1" applyAlignment="1">
      <x:alignment vertical="center"/>
    </x:xf>
    <x:xf numFmtId="0" fontId="1" fillId="113" borderId="0" xfId="0" applyNumberFormat="1" applyFont="1" applyFill="1" applyBorder="1" applyAlignment="1">
      <x:alignment vertical="center"/>
    </x:xf>
    <x:xf numFmtId="0" fontId="8" fillId="113" borderId="0" xfId="0" applyNumberFormat="1" applyFont="1" applyFill="1" applyBorder="1" applyAlignment="1">
      <x:alignment vertical="center"/>
    </x:xf>
    <x:xf numFmtId="0" fontId="1" fillId="114" borderId="0" xfId="0" applyNumberFormat="1" applyFont="1" applyFill="1" applyBorder="1" applyAlignment="1">
      <x:alignment vertical="center"/>
    </x:xf>
    <x:xf numFmtId="0" fontId="8" fillId="114" borderId="0" xfId="0" applyNumberFormat="1" applyFont="1" applyFill="1" applyBorder="1" applyAlignment="1">
      <x:alignment vertical="center"/>
    </x:xf>
    <x:xf numFmtId="0" fontId="1" fillId="115" borderId="0" xfId="0" applyNumberFormat="1" applyFont="1" applyFill="1" applyBorder="1" applyAlignment="1">
      <x:alignment vertical="center"/>
    </x:xf>
    <x:xf numFmtId="0" fontId="8" fillId="115" borderId="0" xfId="0" applyNumberFormat="1" applyFont="1" applyFill="1" applyBorder="1" applyAlignment="1">
      <x:alignment vertical="center"/>
    </x:xf>
    <x:xf numFmtId="0" fontId="1" fillId="116" borderId="0" xfId="0" applyNumberFormat="1" applyFont="1" applyFill="1" applyBorder="1" applyAlignment="1">
      <x:alignment vertical="center"/>
    </x:xf>
    <x:xf numFmtId="0" fontId="8" fillId="116" borderId="0" xfId="0" applyNumberFormat="1" applyFont="1" applyFill="1" applyBorder="1" applyAlignment="1">
      <x:alignment vertical="center"/>
    </x:xf>
    <x:xf numFmtId="0" fontId="1" fillId="117" borderId="0" xfId="0" applyNumberFormat="1" applyFont="1" applyFill="1" applyBorder="1" applyAlignment="1">
      <x:alignment vertical="center"/>
    </x:xf>
    <x:xf numFmtId="0" fontId="8" fillId="117" borderId="0" xfId="0" applyNumberFormat="1" applyFont="1" applyFill="1" applyBorder="1" applyAlignment="1">
      <x:alignment vertical="center"/>
    </x:xf>
    <x:xf numFmtId="0" fontId="1" fillId="118" borderId="0" xfId="0" applyNumberFormat="1" applyFont="1" applyFill="1" applyBorder="1" applyAlignment="1">
      <x:alignment vertical="center"/>
    </x:xf>
    <x:xf numFmtId="0" fontId="8" fillId="118" borderId="0" xfId="0" applyNumberFormat="1" applyFont="1" applyFill="1" applyBorder="1" applyAlignment="1">
      <x:alignment vertical="center"/>
    </x:xf>
    <x:xf numFmtId="0" fontId="1" fillId="119" borderId="0" xfId="0" applyNumberFormat="1" applyFont="1" applyFill="1" applyBorder="1" applyAlignment="1">
      <x:alignment vertical="center"/>
    </x:xf>
    <x:xf numFmtId="0" fontId="8" fillId="119" borderId="0" xfId="0" applyNumberFormat="1" applyFont="1" applyFill="1" applyBorder="1" applyAlignment="1">
      <x:alignment vertical="center"/>
    </x:xf>
    <x:xf numFmtId="0" fontId="1" fillId="120" borderId="0" xfId="0" applyNumberFormat="1" applyFont="1" applyFill="1" applyBorder="1" applyAlignment="1">
      <x:alignment vertical="center"/>
    </x:xf>
    <x:xf numFmtId="0" fontId="8" fillId="120" borderId="0" xfId="0" applyNumberFormat="1" applyFont="1" applyFill="1" applyBorder="1" applyAlignment="1">
      <x:alignment vertical="center"/>
    </x:xf>
    <x:xf numFmtId="0" fontId="1" fillId="121" borderId="0" xfId="0" applyNumberFormat="1" applyFont="1" applyFill="1" applyBorder="1" applyAlignment="1">
      <x:alignment vertical="center"/>
    </x:xf>
    <x:xf numFmtId="0" fontId="8" fillId="121" borderId="0" xfId="0" applyNumberFormat="1" applyFont="1" applyFill="1" applyBorder="1" applyAlignment="1">
      <x:alignment vertical="center"/>
    </x:xf>
    <x:xf numFmtId="0" fontId="1" fillId="122" borderId="0" xfId="0" applyNumberFormat="1" applyFont="1" applyFill="1" applyBorder="1" applyAlignment="1">
      <x:alignment vertical="center"/>
    </x:xf>
    <x:xf numFmtId="0" fontId="8" fillId="122" borderId="0" xfId="0" applyNumberFormat="1" applyFont="1" applyFill="1" applyBorder="1" applyAlignment="1">
      <x:alignment vertical="center"/>
    </x:xf>
    <x:xf numFmtId="0" fontId="1" fillId="123" borderId="0" xfId="0" applyNumberFormat="1" applyFont="1" applyFill="1" applyBorder="1" applyAlignment="1">
      <x:alignment vertical="center"/>
    </x:xf>
    <x:xf numFmtId="0" fontId="8" fillId="123" borderId="0" xfId="0" applyNumberFormat="1" applyFont="1" applyFill="1" applyBorder="1" applyAlignment="1">
      <x:alignment vertical="center"/>
    </x:xf>
    <x:xf numFmtId="0" fontId="1" fillId="124" borderId="0" xfId="0" applyNumberFormat="1" applyFont="1" applyFill="1" applyBorder="1" applyAlignment="1">
      <x:alignment vertical="center"/>
    </x:xf>
    <x:xf numFmtId="0" fontId="8" fillId="124" borderId="0" xfId="0" applyNumberFormat="1" applyFont="1" applyFill="1" applyBorder="1" applyAlignment="1">
      <x:alignment vertical="center"/>
    </x:xf>
    <x:xf numFmtId="0" fontId="1" fillId="125" borderId="0" xfId="0" applyNumberFormat="1" applyFont="1" applyFill="1" applyBorder="1" applyAlignment="1">
      <x:alignment vertical="center"/>
    </x:xf>
    <x:xf numFmtId="0" fontId="4" fillId="125" borderId="0" xfId="0" applyNumberFormat="1" applyFont="1" applyFill="1" applyBorder="1" applyAlignment="1">
      <x:alignment vertical="center"/>
    </x:xf>
    <x:xf numFmtId="0" fontId="1" fillId="126" borderId="0" xfId="0" applyNumberFormat="1" applyFont="1" applyFill="1" applyBorder="1" applyAlignment="1">
      <x:alignment vertical="center"/>
    </x:xf>
    <x:xf numFmtId="0" fontId="4" fillId="126" borderId="0" xfId="0" applyNumberFormat="1" applyFont="1" applyFill="1" applyBorder="1" applyAlignment="1">
      <x:alignment vertical="center"/>
    </x:xf>
    <x:xf numFmtId="0" fontId="1" fillId="127" borderId="0" xfId="0" applyNumberFormat="1" applyFont="1" applyFill="1" applyBorder="1" applyAlignment="1">
      <x:alignment vertical="center"/>
    </x:xf>
    <x:xf numFmtId="0" fontId="4" fillId="127" borderId="0" xfId="0" applyNumberFormat="1" applyFont="1" applyFill="1" applyBorder="1" applyAlignment="1">
      <x:alignment vertical="center"/>
    </x:xf>
    <x:xf numFmtId="0" fontId="1" fillId="128" borderId="0" xfId="0" applyNumberFormat="1" applyFont="1" applyFill="1" applyBorder="1" applyAlignment="1">
      <x:alignment vertical="center"/>
    </x:xf>
    <x:xf numFmtId="0" fontId="8" fillId="128" borderId="0" xfId="0" applyNumberFormat="1" applyFont="1" applyFill="1" applyBorder="1" applyAlignment="1">
      <x:alignment vertical="center"/>
    </x:xf>
    <x:xf numFmtId="0" fontId="1" fillId="129" borderId="0" xfId="0" applyNumberFormat="1" applyFont="1" applyFill="1" applyBorder="1" applyAlignment="1">
      <x:alignment vertical="center"/>
    </x:xf>
    <x:xf numFmtId="0" fontId="8" fillId="129" borderId="0" xfId="0" applyNumberFormat="1" applyFont="1" applyFill="1" applyBorder="1" applyAlignment="1">
      <x:alignment vertical="center"/>
    </x:xf>
    <x:xf numFmtId="0" fontId="1" fillId="130" borderId="0" xfId="0" applyNumberFormat="1" applyFont="1" applyFill="1" applyBorder="1" applyAlignment="1">
      <x:alignment vertical="center"/>
    </x:xf>
    <x:xf numFmtId="0" fontId="4" fillId="130" borderId="0" xfId="0" applyNumberFormat="1" applyFont="1" applyFill="1" applyBorder="1" applyAlignment="1">
      <x:alignment vertical="center"/>
    </x:xf>
    <x:xf numFmtId="0" fontId="1" fillId="131" borderId="0" xfId="0" applyNumberFormat="1" applyFont="1" applyFill="1" applyBorder="1" applyAlignment="1">
      <x:alignment vertical="center"/>
    </x:xf>
    <x:xf numFmtId="0" fontId="4" fillId="131" borderId="0" xfId="0" applyNumberFormat="1" applyFont="1" applyFill="1" applyBorder="1" applyAlignment="1">
      <x:alignment vertical="center"/>
    </x:xf>
    <x:xf numFmtId="0" fontId="1" fillId="132" borderId="0" xfId="0" applyNumberFormat="1" applyFont="1" applyFill="1" applyBorder="1" applyAlignment="1">
      <x:alignment vertical="center"/>
    </x:xf>
    <x:xf numFmtId="0" fontId="8" fillId="132" borderId="0" xfId="0" applyNumberFormat="1" applyFont="1" applyFill="1" applyBorder="1" applyAlignment="1">
      <x:alignment vertical="center"/>
    </x:xf>
    <x:xf numFmtId="0" fontId="1" fillId="133" borderId="0" xfId="0" applyNumberFormat="1" applyFont="1" applyFill="1" applyBorder="1" applyAlignment="1">
      <x:alignment vertical="center"/>
    </x:xf>
    <x:xf numFmtId="0" fontId="8" fillId="133" borderId="0" xfId="0" applyNumberFormat="1" applyFont="1" applyFill="1" applyBorder="1" applyAlignment="1">
      <x:alignment vertical="center"/>
    </x:xf>
    <x:xf numFmtId="0" fontId="1" fillId="134" borderId="0" xfId="0" applyNumberFormat="1" applyFont="1" applyFill="1" applyBorder="1" applyAlignment="1">
      <x:alignment vertical="center"/>
    </x:xf>
    <x:xf numFmtId="0" fontId="8" fillId="134" borderId="0" xfId="0" applyNumberFormat="1" applyFont="1" applyFill="1" applyBorder="1" applyAlignment="1">
      <x:alignment vertical="center"/>
    </x:xf>
    <x:xf numFmtId="0" fontId="1" fillId="135" borderId="0" xfId="0" applyNumberFormat="1" applyFont="1" applyFill="1" applyBorder="1" applyAlignment="1">
      <x:alignment vertical="center"/>
    </x:xf>
    <x:xf numFmtId="0" fontId="4" fillId="135" borderId="0" xfId="0" applyNumberFormat="1" applyFont="1" applyFill="1" applyBorder="1" applyAlignment="1">
      <x:alignment vertical="center"/>
    </x:xf>
    <x:xf numFmtId="0" fontId="1" fillId="136" borderId="0" xfId="0" applyNumberFormat="1" applyFont="1" applyFill="1" applyBorder="1" applyAlignment="1">
      <x:alignment vertical="center"/>
    </x:xf>
    <x:xf numFmtId="0" fontId="4" fillId="136" borderId="0" xfId="0" applyNumberFormat="1" applyFont="1" applyFill="1" applyBorder="1" applyAlignment="1">
      <x:alignment vertical="center"/>
    </x:xf>
    <x:xf numFmtId="0" fontId="1" fillId="137" borderId="0" xfId="0" applyNumberFormat="1" applyFont="1" applyFill="1" applyBorder="1" applyAlignment="1">
      <x:alignment vertical="center"/>
    </x:xf>
    <x:xf numFmtId="0" fontId="4" fillId="137" borderId="0" xfId="0" applyNumberFormat="1" applyFont="1" applyFill="1" applyBorder="1" applyAlignment="1">
      <x:alignment vertical="center"/>
    </x:xf>
    <x:xf numFmtId="0" fontId="1" fillId="138" borderId="0" xfId="0" applyNumberFormat="1" applyFont="1" applyFill="1" applyBorder="1" applyAlignment="1">
      <x:alignment vertical="center"/>
    </x:xf>
    <x:xf numFmtId="0" fontId="4" fillId="138" borderId="0" xfId="0" applyNumberFormat="1" applyFont="1" applyFill="1" applyBorder="1" applyAlignment="1">
      <x:alignment vertical="center"/>
    </x:xf>
    <x:xf numFmtId="0" fontId="1" fillId="139" borderId="0" xfId="0" applyNumberFormat="1" applyFont="1" applyFill="1" applyBorder="1" applyAlignment="1">
      <x:alignment vertical="center"/>
    </x:xf>
    <x:xf numFmtId="0" fontId="4" fillId="139" borderId="0" xfId="0" applyNumberFormat="1" applyFont="1" applyFill="1" applyBorder="1" applyAlignment="1">
      <x:alignment vertical="center"/>
    </x:xf>
    <x:xf numFmtId="0" fontId="1" fillId="140" borderId="0" xfId="0" applyNumberFormat="1" applyFont="1" applyFill="1" applyBorder="1" applyAlignment="1">
      <x:alignment vertical="center"/>
    </x:xf>
    <x:xf numFmtId="0" fontId="4" fillId="140" borderId="0" xfId="0" applyNumberFormat="1" applyFont="1" applyFill="1" applyBorder="1" applyAlignment="1">
      <x:alignment vertical="center"/>
    </x:xf>
    <x:xf numFmtId="0" fontId="1" fillId="141" borderId="0" xfId="0" applyNumberFormat="1" applyFont="1" applyFill="1" applyBorder="1" applyAlignment="1">
      <x:alignment vertical="center"/>
    </x:xf>
    <x:xf numFmtId="0" fontId="4" fillId="141" borderId="0" xfId="0" applyNumberFormat="1" applyFont="1" applyFill="1" applyBorder="1" applyAlignment="1">
      <x:alignment vertical="center"/>
    </x:xf>
    <x:xf numFmtId="0" fontId="1" fillId="142" borderId="0" xfId="0" applyNumberFormat="1" applyFont="1" applyFill="1" applyBorder="1" applyAlignment="1">
      <x:alignment vertical="center"/>
    </x:xf>
    <x:xf numFmtId="0" fontId="4" fillId="142" borderId="0" xfId="0" applyNumberFormat="1" applyFont="1" applyFill="1" applyBorder="1" applyAlignment="1">
      <x:alignment vertical="center"/>
    </x:xf>
    <x:xf numFmtId="0" fontId="1" fillId="143" borderId="0" xfId="0" applyNumberFormat="1" applyFont="1" applyFill="1" applyBorder="1" applyAlignment="1">
      <x:alignment vertical="center"/>
    </x:xf>
    <x:xf numFmtId="0" fontId="4" fillId="143" borderId="0" xfId="0" applyNumberFormat="1" applyFont="1" applyFill="1" applyBorder="1" applyAlignment="1">
      <x:alignment vertical="center"/>
    </x:xf>
    <x:xf numFmtId="0" fontId="1" fillId="144" borderId="0" xfId="0" applyNumberFormat="1" applyFont="1" applyFill="1" applyBorder="1" applyAlignment="1">
      <x:alignment vertical="center"/>
    </x:xf>
    <x:xf numFmtId="0" fontId="4" fillId="144" borderId="0" xfId="0" applyNumberFormat="1" applyFont="1" applyFill="1" applyBorder="1" applyAlignment="1">
      <x:alignment vertical="center"/>
    </x:xf>
    <x:xf numFmtId="0" fontId="1" fillId="145" borderId="0" xfId="0" applyNumberFormat="1" applyFont="1" applyFill="1" applyBorder="1" applyAlignment="1">
      <x:alignment vertical="center"/>
    </x:xf>
    <x:xf numFmtId="0" fontId="4" fillId="145" borderId="0" xfId="0" applyNumberFormat="1" applyFont="1" applyFill="1" applyBorder="1" applyAlignment="1">
      <x:alignment vertical="center"/>
    </x:xf>
    <x:xf numFmtId="0" fontId="1" fillId="146" borderId="0" xfId="0" applyNumberFormat="1" applyFont="1" applyFill="1" applyBorder="1" applyAlignment="1">
      <x:alignment vertical="center"/>
    </x:xf>
    <x:xf numFmtId="0" fontId="4" fillId="146" borderId="0" xfId="0" applyNumberFormat="1" applyFont="1" applyFill="1" applyBorder="1" applyAlignment="1">
      <x:alignment vertical="center"/>
    </x:xf>
    <x:xf numFmtId="0" fontId="1" fillId="147" borderId="0" xfId="0" applyNumberFormat="1" applyFont="1" applyFill="1" applyBorder="1" applyAlignment="1">
      <x:alignment vertical="center"/>
    </x:xf>
    <x:xf numFmtId="0" fontId="4" fillId="147" borderId="0" xfId="0" applyNumberFormat="1" applyFont="1" applyFill="1" applyBorder="1" applyAlignment="1">
      <x:alignment vertical="center"/>
    </x:xf>
    <x:xf numFmtId="0" fontId="1" fillId="148" borderId="0" xfId="0" applyNumberFormat="1" applyFont="1" applyFill="1" applyBorder="1" applyAlignment="1">
      <x:alignment vertical="center"/>
    </x:xf>
    <x:xf numFmtId="0" fontId="8" fillId="148" borderId="0" xfId="0" applyNumberFormat="1" applyFont="1" applyFill="1" applyBorder="1" applyAlignment="1">
      <x:alignment vertical="center"/>
    </x:xf>
    <x:xf numFmtId="0" fontId="1" fillId="149" borderId="0" xfId="0" applyNumberFormat="1" applyFont="1" applyFill="1" applyBorder="1" applyAlignment="1">
      <x:alignment vertical="center"/>
    </x:xf>
    <x:xf numFmtId="0" fontId="8" fillId="149" borderId="0" xfId="0" applyNumberFormat="1" applyFont="1" applyFill="1" applyBorder="1" applyAlignment="1">
      <x:alignment vertical="center"/>
    </x:xf>
    <x:xf numFmtId="0" fontId="1" fillId="150" borderId="0" xfId="0" applyNumberFormat="1" applyFont="1" applyFill="1" applyBorder="1" applyAlignment="1">
      <x:alignment vertical="center"/>
    </x:xf>
    <x:xf numFmtId="0" fontId="8" fillId="150" borderId="0" xfId="0" applyNumberFormat="1" applyFont="1" applyFill="1" applyBorder="1" applyAlignment="1">
      <x:alignment vertical="center"/>
    </x:xf>
    <x:xf numFmtId="0" fontId="1" fillId="151" borderId="0" xfId="0" applyNumberFormat="1" applyFont="1" applyFill="1" applyBorder="1" applyAlignment="1">
      <x:alignment vertical="center"/>
    </x:xf>
    <x:xf numFmtId="0" fontId="8" fillId="151" borderId="0" xfId="0" applyNumberFormat="1" applyFont="1" applyFill="1" applyBorder="1" applyAlignment="1">
      <x:alignment vertical="center"/>
    </x:xf>
    <x:xf numFmtId="0" fontId="1" fillId="152" borderId="0" xfId="0" applyNumberFormat="1" applyFont="1" applyFill="1" applyBorder="1" applyAlignment="1">
      <x:alignment vertical="center"/>
    </x:xf>
    <x:xf numFmtId="0" fontId="4" fillId="152" borderId="0" xfId="0" applyNumberFormat="1" applyFont="1" applyFill="1" applyBorder="1" applyAlignment="1">
      <x:alignment vertical="center"/>
    </x:xf>
    <x:xf numFmtId="0" fontId="1" fillId="153" borderId="0" xfId="0" applyNumberFormat="1" applyFont="1" applyFill="1" applyBorder="1" applyAlignment="1">
      <x:alignment vertical="center"/>
    </x:xf>
    <x:xf numFmtId="0" fontId="4" fillId="153" borderId="0" xfId="0" applyNumberFormat="1" applyFont="1" applyFill="1" applyBorder="1" applyAlignment="1">
      <x:alignment vertical="center"/>
    </x:xf>
    <x:xf numFmtId="0" fontId="1" fillId="154" borderId="0" xfId="0" applyNumberFormat="1" applyFont="1" applyFill="1" applyBorder="1" applyAlignment="1">
      <x:alignment vertical="center"/>
    </x:xf>
    <x:xf numFmtId="0" fontId="4" fillId="154" borderId="0" xfId="0" applyNumberFormat="1" applyFont="1" applyFill="1" applyBorder="1" applyAlignment="1">
      <x:alignment vertical="center"/>
    </x:xf>
    <x:xf numFmtId="0" fontId="1" fillId="155" borderId="0" xfId="0" applyNumberFormat="1" applyFont="1" applyFill="1" applyBorder="1" applyAlignment="1">
      <x:alignment vertical="center"/>
    </x:xf>
    <x:xf numFmtId="0" fontId="4" fillId="155" borderId="0" xfId="0" applyNumberFormat="1" applyFont="1" applyFill="1" applyBorder="1" applyAlignment="1">
      <x:alignment vertical="center"/>
    </x:xf>
    <x:xf numFmtId="0" fontId="1" fillId="156" borderId="0" xfId="0" applyNumberFormat="1" applyFont="1" applyFill="1" applyBorder="1" applyAlignment="1">
      <x:alignment vertical="center"/>
    </x:xf>
    <x:xf numFmtId="0" fontId="4" fillId="156" borderId="0" xfId="0" applyNumberFormat="1" applyFont="1" applyFill="1" applyBorder="1" applyAlignment="1">
      <x:alignment vertical="center"/>
    </x:xf>
    <x:xf numFmtId="0" fontId="1" fillId="157" borderId="0" xfId="0" applyNumberFormat="1" applyFont="1" applyFill="1" applyBorder="1" applyAlignment="1">
      <x:alignment vertical="center"/>
    </x:xf>
    <x:xf numFmtId="0" fontId="4" fillId="157" borderId="0" xfId="0" applyNumberFormat="1" applyFont="1" applyFill="1" applyBorder="1" applyAlignment="1">
      <x:alignment vertical="center"/>
    </x:xf>
    <x:xf numFmtId="0" fontId="1" fillId="158" borderId="0" xfId="0" applyNumberFormat="1" applyFont="1" applyFill="1" applyBorder="1" applyAlignment="1">
      <x:alignment vertical="center"/>
    </x:xf>
    <x:xf numFmtId="0" fontId="4" fillId="158" borderId="0" xfId="0" applyNumberFormat="1" applyFont="1" applyFill="1" applyBorder="1" applyAlignment="1">
      <x:alignment vertical="center"/>
    </x:xf>
    <x:xf numFmtId="0" fontId="1" fillId="159" borderId="0" xfId="0" applyNumberFormat="1" applyFont="1" applyFill="1" applyBorder="1" applyAlignment="1">
      <x:alignment vertical="center"/>
    </x:xf>
    <x:xf numFmtId="0" fontId="4" fillId="159" borderId="0" xfId="0" applyNumberFormat="1" applyFont="1" applyFill="1" applyBorder="1" applyAlignment="1">
      <x:alignment vertical="center"/>
    </x:xf>
    <x:xf numFmtId="0" fontId="1" fillId="160" borderId="0" xfId="0" applyNumberFormat="1" applyFont="1" applyFill="1" applyBorder="1" applyAlignment="1">
      <x:alignment vertical="center"/>
    </x:xf>
    <x:xf numFmtId="0" fontId="4" fillId="160" borderId="0" xfId="0" applyNumberFormat="1" applyFont="1" applyFill="1" applyBorder="1" applyAlignment="1">
      <x:alignment vertical="center"/>
    </x:xf>
    <x:xf numFmtId="0" fontId="1" fillId="161" borderId="0" xfId="0" applyNumberFormat="1" applyFont="1" applyFill="1" applyBorder="1" applyAlignment="1">
      <x:alignment vertical="center"/>
    </x:xf>
    <x:xf numFmtId="0" fontId="4" fillId="161" borderId="0" xfId="0" applyNumberFormat="1" applyFont="1" applyFill="1" applyBorder="1" applyAlignment="1">
      <x:alignment vertical="center"/>
    </x:xf>
    <x:xf numFmtId="0" fontId="1" fillId="162" borderId="0" xfId="0" applyNumberFormat="1" applyFont="1" applyFill="1" applyBorder="1" applyAlignment="1">
      <x:alignment vertical="center"/>
    </x:xf>
    <x:xf numFmtId="0" fontId="4" fillId="162" borderId="0" xfId="0" applyNumberFormat="1" applyFont="1" applyFill="1" applyBorder="1" applyAlignment="1">
      <x:alignment vertical="center"/>
    </x:xf>
    <x:xf numFmtId="0" fontId="1" fillId="163" borderId="0" xfId="0" applyNumberFormat="1" applyFont="1" applyFill="1" applyBorder="1" applyAlignment="1">
      <x:alignment vertical="center"/>
    </x:xf>
    <x:xf numFmtId="0" fontId="4" fillId="163" borderId="0" xfId="0" applyNumberFormat="1" applyFont="1" applyFill="1" applyBorder="1" applyAlignment="1">
      <x:alignment vertical="center"/>
    </x:xf>
    <x:xf numFmtId="0" fontId="1" fillId="164" borderId="0" xfId="0" applyNumberFormat="1" applyFont="1" applyFill="1" applyBorder="1" applyAlignment="1">
      <x:alignment vertical="center"/>
    </x:xf>
    <x:xf numFmtId="0" fontId="4" fillId="164" borderId="0" xfId="0" applyNumberFormat="1" applyFont="1" applyFill="1" applyBorder="1" applyAlignment="1">
      <x:alignment vertical="center"/>
    </x:xf>
    <x:xf numFmtId="0" fontId="1" fillId="165" borderId="0" xfId="0" applyNumberFormat="1" applyFont="1" applyFill="1" applyBorder="1" applyAlignment="1">
      <x:alignment vertical="center"/>
    </x:xf>
    <x:xf numFmtId="0" fontId="4" fillId="165" borderId="0" xfId="0" applyNumberFormat="1" applyFont="1" applyFill="1" applyBorder="1" applyAlignment="1">
      <x:alignment vertical="center"/>
    </x:xf>
    <x:xf numFmtId="0" fontId="1" fillId="166" borderId="0" xfId="0" applyNumberFormat="1" applyFont="1" applyFill="1" applyBorder="1" applyAlignment="1">
      <x:alignment vertical="center"/>
    </x:xf>
    <x:xf numFmtId="0" fontId="4" fillId="166" borderId="0" xfId="0" applyNumberFormat="1" applyFont="1" applyFill="1" applyBorder="1" applyAlignment="1">
      <x:alignment vertical="center"/>
    </x:xf>
    <x:xf numFmtId="0" fontId="1" fillId="167" borderId="0" xfId="0" applyNumberFormat="1" applyFont="1" applyFill="1" applyBorder="1" applyAlignment="1">
      <x:alignment vertical="center"/>
    </x:xf>
    <x:xf numFmtId="0" fontId="4" fillId="167" borderId="0" xfId="0" applyNumberFormat="1" applyFont="1" applyFill="1" applyBorder="1" applyAlignment="1">
      <x:alignment vertical="center"/>
    </x:xf>
    <x:xf numFmtId="0" fontId="1" fillId="168" borderId="0" xfId="0" applyNumberFormat="1" applyFont="1" applyFill="1" applyBorder="1" applyAlignment="1">
      <x:alignment vertical="center"/>
    </x:xf>
    <x:xf numFmtId="0" fontId="4" fillId="168" borderId="0" xfId="0" applyNumberFormat="1" applyFont="1" applyFill="1" applyBorder="1" applyAlignment="1">
      <x:alignment vertical="center"/>
    </x:xf>
    <x:xf numFmtId="0" fontId="1" fillId="169" borderId="0" xfId="0" applyNumberFormat="1" applyFont="1" applyFill="1" applyBorder="1" applyAlignment="1">
      <x:alignment vertical="center"/>
    </x:xf>
    <x:xf numFmtId="0" fontId="4" fillId="169" borderId="0" xfId="0" applyNumberFormat="1" applyFont="1" applyFill="1" applyBorder="1" applyAlignment="1">
      <x:alignment vertical="center"/>
    </x:xf>
    <x:xf numFmtId="0" fontId="1" fillId="170" borderId="0" xfId="0" applyNumberFormat="1" applyFont="1" applyFill="1" applyBorder="1" applyAlignment="1">
      <x:alignment vertical="center"/>
    </x:xf>
    <x:xf numFmtId="0" fontId="8" fillId="170" borderId="0" xfId="0" applyNumberFormat="1" applyFont="1" applyFill="1" applyBorder="1" applyAlignment="1">
      <x:alignment vertical="center"/>
    </x:xf>
    <x:xf numFmtId="0" fontId="1" fillId="171" borderId="0" xfId="0" applyNumberFormat="1" applyFont="1" applyFill="1" applyBorder="1" applyAlignment="1">
      <x:alignment vertical="center"/>
    </x:xf>
    <x:xf numFmtId="0" fontId="4" fillId="171" borderId="0" xfId="0" applyNumberFormat="1" applyFont="1" applyFill="1" applyBorder="1" applyAlignment="1">
      <x:alignment vertical="center"/>
    </x:xf>
    <x:xf numFmtId="0" fontId="1" fillId="172" borderId="0" xfId="0" applyNumberFormat="1" applyFont="1" applyFill="1" applyBorder="1" applyAlignment="1">
      <x:alignment vertical="center"/>
    </x:xf>
    <x:xf numFmtId="0" fontId="4" fillId="172" borderId="0" xfId="0" applyNumberFormat="1" applyFont="1" applyFill="1" applyBorder="1" applyAlignment="1">
      <x:alignment vertical="center"/>
    </x:xf>
    <x:xf numFmtId="0" fontId="1" fillId="173" borderId="0" xfId="0" applyNumberFormat="1" applyFont="1" applyFill="1" applyBorder="1" applyAlignment="1">
      <x:alignment vertical="center"/>
    </x:xf>
    <x:xf numFmtId="0" fontId="4" fillId="173" borderId="0" xfId="0" applyNumberFormat="1" applyFont="1" applyFill="1" applyBorder="1" applyAlignment="1">
      <x:alignment vertical="center"/>
    </x:xf>
    <x:xf numFmtId="0" fontId="1" fillId="174" borderId="0" xfId="0" applyNumberFormat="1" applyFont="1" applyFill="1" applyBorder="1" applyAlignment="1">
      <x:alignment vertical="center"/>
    </x:xf>
    <x:xf numFmtId="0" fontId="4" fillId="174" borderId="0" xfId="0" applyNumberFormat="1" applyFont="1" applyFill="1" applyBorder="1" applyAlignment="1">
      <x:alignment vertical="center"/>
    </x:xf>
    <x:xf numFmtId="0" fontId="1" fillId="175" borderId="0" xfId="0" applyNumberFormat="1" applyFont="1" applyFill="1" applyBorder="1" applyAlignment="1">
      <x:alignment vertical="center"/>
    </x:xf>
    <x:xf numFmtId="0" fontId="4" fillId="175" borderId="0" xfId="0" applyNumberFormat="1" applyFont="1" applyFill="1" applyBorder="1" applyAlignment="1">
      <x:alignment vertical="center"/>
    </x:xf>
    <x:xf numFmtId="0" fontId="1" fillId="176" borderId="0" xfId="0" applyNumberFormat="1" applyFont="1" applyFill="1" applyBorder="1" applyAlignment="1">
      <x:alignment vertical="center"/>
    </x:xf>
    <x:xf numFmtId="0" fontId="4" fillId="176" borderId="0" xfId="0" applyNumberFormat="1" applyFont="1" applyFill="1" applyBorder="1" applyAlignment="1">
      <x:alignment vertical="center"/>
    </x:xf>
    <x:xf numFmtId="0" fontId="1" fillId="177" borderId="0" xfId="0" applyNumberFormat="1" applyFont="1" applyFill="1" applyBorder="1" applyAlignment="1">
      <x:alignment vertical="center"/>
    </x:xf>
    <x:xf numFmtId="0" fontId="4" fillId="177" borderId="0" xfId="0" applyNumberFormat="1" applyFont="1" applyFill="1" applyBorder="1" applyAlignment="1">
      <x:alignment vertical="center"/>
    </x:xf>
    <x:xf numFmtId="0" fontId="1" fillId="178" borderId="0" xfId="0" applyNumberFormat="1" applyFont="1" applyFill="1" applyBorder="1" applyAlignment="1">
      <x:alignment vertical="center"/>
    </x:xf>
    <x:xf numFmtId="0" fontId="4" fillId="178" borderId="0" xfId="0" applyNumberFormat="1" applyFont="1" applyFill="1" applyBorder="1" applyAlignment="1">
      <x:alignment vertical="center"/>
    </x:xf>
    <x:xf numFmtId="0" fontId="1" fillId="179" borderId="0" xfId="0" applyNumberFormat="1" applyFont="1" applyFill="1" applyBorder="1" applyAlignment="1">
      <x:alignment vertical="center"/>
    </x:xf>
    <x:xf numFmtId="0" fontId="4" fillId="179" borderId="0" xfId="0" applyNumberFormat="1" applyFont="1" applyFill="1" applyBorder="1" applyAlignment="1">
      <x:alignment vertical="center"/>
    </x:xf>
    <x:xf numFmtId="0" fontId="1" fillId="180" borderId="0" xfId="0" applyNumberFormat="1" applyFont="1" applyFill="1" applyBorder="1" applyAlignment="1">
      <x:alignment vertical="center"/>
    </x:xf>
    <x:xf numFmtId="0" fontId="4" fillId="180" borderId="0" xfId="0" applyNumberFormat="1" applyFont="1" applyFill="1" applyBorder="1" applyAlignment="1">
      <x:alignment vertical="center"/>
    </x:xf>
    <x:xf numFmtId="0" fontId="1" fillId="181" borderId="0" xfId="0" applyNumberFormat="1" applyFont="1" applyFill="1" applyBorder="1" applyAlignment="1">
      <x:alignment vertical="center"/>
    </x:xf>
    <x:xf numFmtId="0" fontId="8" fillId="181" borderId="0" xfId="0" applyNumberFormat="1" applyFont="1" applyFill="1" applyBorder="1" applyAlignment="1">
      <x:alignment vertical="center"/>
    </x:xf>
    <x:xf numFmtId="0" fontId="1" fillId="182" borderId="0" xfId="0" applyNumberFormat="1" applyFont="1" applyFill="1" applyBorder="1" applyAlignment="1">
      <x:alignment vertical="center"/>
    </x:xf>
    <x:xf numFmtId="0" fontId="8" fillId="182" borderId="0" xfId="0" applyNumberFormat="1" applyFont="1" applyFill="1" applyBorder="1" applyAlignment="1">
      <x:alignment vertical="center"/>
    </x:xf>
    <x:xf numFmtId="0" fontId="1" fillId="183" borderId="0" xfId="0" applyNumberFormat="1" applyFont="1" applyFill="1" applyBorder="1" applyAlignment="1">
      <x:alignment vertical="center"/>
    </x:xf>
    <x:xf numFmtId="0" fontId="8" fillId="183" borderId="0" xfId="0" applyNumberFormat="1" applyFont="1" applyFill="1" applyBorder="1" applyAlignment="1">
      <x:alignment vertical="center"/>
    </x:xf>
    <x:xf numFmtId="0" fontId="1" fillId="184" borderId="0" xfId="0" applyNumberFormat="1" applyFont="1" applyFill="1" applyBorder="1" applyAlignment="1">
      <x:alignment vertical="center"/>
    </x:xf>
    <x:xf numFmtId="0" fontId="8" fillId="184" borderId="0" xfId="0" applyNumberFormat="1" applyFont="1" applyFill="1" applyBorder="1" applyAlignment="1">
      <x:alignment vertical="center"/>
    </x:xf>
    <x:xf numFmtId="0" fontId="1" fillId="185" borderId="0" xfId="0" applyNumberFormat="1" applyFont="1" applyFill="1" applyBorder="1" applyAlignment="1">
      <x:alignment vertical="center"/>
    </x:xf>
    <x:xf numFmtId="0" fontId="8" fillId="185" borderId="0" xfId="0" applyNumberFormat="1" applyFont="1" applyFill="1" applyBorder="1" applyAlignment="1">
      <x:alignment vertical="center"/>
    </x:xf>
    <x:xf numFmtId="0" fontId="1" fillId="186" borderId="0" xfId="0" applyNumberFormat="1" applyFont="1" applyFill="1" applyBorder="1" applyAlignment="1">
      <x:alignment vertical="center"/>
    </x:xf>
    <x:xf numFmtId="0" fontId="8" fillId="186" borderId="0" xfId="0" applyNumberFormat="1" applyFont="1" applyFill="1" applyBorder="1" applyAlignment="1">
      <x:alignment vertical="center"/>
    </x:xf>
    <x:xf numFmtId="0" fontId="1" fillId="187" borderId="0" xfId="0" applyNumberFormat="1" applyFont="1" applyFill="1" applyBorder="1" applyAlignment="1">
      <x:alignment vertical="center"/>
    </x:xf>
    <x:xf numFmtId="0" fontId="8" fillId="187" borderId="0" xfId="0" applyNumberFormat="1" applyFont="1" applyFill="1" applyBorder="1" applyAlignment="1">
      <x:alignment vertical="center"/>
    </x:xf>
    <x:xf numFmtId="0" fontId="1" fillId="188" borderId="0" xfId="0" applyNumberFormat="1" applyFont="1" applyFill="1" applyBorder="1" applyAlignment="1">
      <x:alignment vertical="center"/>
    </x:xf>
    <x:xf numFmtId="0" fontId="8" fillId="188" borderId="0" xfId="0" applyNumberFormat="1" applyFont="1" applyFill="1" applyBorder="1" applyAlignment="1">
      <x:alignment vertical="center"/>
    </x:xf>
    <x:xf numFmtId="0" fontId="1" fillId="189" borderId="0" xfId="0" applyNumberFormat="1" applyFont="1" applyFill="1" applyBorder="1" applyAlignment="1">
      <x:alignment vertical="center"/>
    </x:xf>
    <x:xf numFmtId="0" fontId="8" fillId="189" borderId="0" xfId="0" applyNumberFormat="1" applyFont="1" applyFill="1" applyBorder="1" applyAlignment="1">
      <x:alignment vertical="center"/>
    </x:xf>
    <x:xf numFmtId="0" fontId="1" fillId="190" borderId="0" xfId="0" applyNumberFormat="1" applyFont="1" applyFill="1" applyBorder="1" applyAlignment="1">
      <x:alignment vertical="center"/>
    </x:xf>
    <x:xf numFmtId="0" fontId="8" fillId="190" borderId="0" xfId="0" applyNumberFormat="1" applyFont="1" applyFill="1" applyBorder="1" applyAlignment="1">
      <x:alignment vertical="center"/>
    </x:xf>
    <x:xf numFmtId="0" fontId="1" fillId="191" borderId="0" xfId="0" applyNumberFormat="1" applyFont="1" applyFill="1" applyBorder="1" applyAlignment="1">
      <x:alignment vertical="center"/>
    </x:xf>
    <x:xf numFmtId="0" fontId="8" fillId="191" borderId="0" xfId="0" applyNumberFormat="1" applyFont="1" applyFill="1" applyBorder="1" applyAlignment="1">
      <x:alignment vertical="center"/>
    </x:xf>
    <x:xf numFmtId="0" fontId="1" fillId="192" borderId="0" xfId="0" applyNumberFormat="1" applyFont="1" applyFill="1" applyBorder="1" applyAlignment="1">
      <x:alignment vertical="center"/>
    </x:xf>
    <x:xf numFmtId="0" fontId="8" fillId="192" borderId="0" xfId="0" applyNumberFormat="1" applyFont="1" applyFill="1" applyBorder="1" applyAlignment="1">
      <x:alignment vertical="center"/>
    </x:xf>
    <x:xf numFmtId="0" fontId="1" fillId="193" borderId="0" xfId="0" applyNumberFormat="1" applyFont="1" applyFill="1" applyBorder="1" applyAlignment="1">
      <x:alignment vertical="center"/>
    </x:xf>
    <x:xf numFmtId="0" fontId="8" fillId="193" borderId="0" xfId="0" applyNumberFormat="1" applyFont="1" applyFill="1" applyBorder="1" applyAlignment="1">
      <x:alignment vertical="center"/>
    </x:xf>
    <x:xf numFmtId="0" fontId="1" fillId="194" borderId="0" xfId="0" applyNumberFormat="1" applyFont="1" applyFill="1" applyBorder="1" applyAlignment="1">
      <x:alignment vertical="center"/>
    </x:xf>
    <x:xf numFmtId="0" fontId="8" fillId="194" borderId="0" xfId="0" applyNumberFormat="1" applyFont="1" applyFill="1" applyBorder="1" applyAlignment="1">
      <x:alignment vertical="center"/>
    </x:xf>
    <x:xf numFmtId="0" fontId="1" fillId="195" borderId="0" xfId="0" applyNumberFormat="1" applyFont="1" applyFill="1" applyBorder="1" applyAlignment="1">
      <x:alignment vertical="center"/>
    </x:xf>
    <x:xf numFmtId="0" fontId="8" fillId="195" borderId="0" xfId="0" applyNumberFormat="1" applyFont="1" applyFill="1" applyBorder="1" applyAlignment="1">
      <x:alignment vertical="center"/>
    </x:xf>
    <x:xf numFmtId="0" fontId="1" fillId="196" borderId="0" xfId="0" applyNumberFormat="1" applyFont="1" applyFill="1" applyBorder="1" applyAlignment="1">
      <x:alignment vertical="center"/>
    </x:xf>
    <x:xf numFmtId="0" fontId="8" fillId="196" borderId="0" xfId="0" applyNumberFormat="1" applyFont="1" applyFill="1" applyBorder="1" applyAlignment="1">
      <x:alignment vertical="center"/>
    </x:xf>
    <x:xf numFmtId="0" fontId="1" fillId="197" borderId="0" xfId="0" applyNumberFormat="1" applyFont="1" applyFill="1" applyBorder="1" applyAlignment="1">
      <x:alignment vertical="center"/>
    </x:xf>
    <x:xf numFmtId="0" fontId="8" fillId="197" borderId="0" xfId="0" applyNumberFormat="1" applyFont="1" applyFill="1" applyBorder="1" applyAlignment="1">
      <x:alignment vertical="center"/>
    </x:xf>
    <x:xf numFmtId="0" fontId="1" fillId="198" borderId="0" xfId="0" applyNumberFormat="1" applyFont="1" applyFill="1" applyBorder="1" applyAlignment="1">
      <x:alignment vertical="center"/>
    </x:xf>
    <x:xf numFmtId="0" fontId="8" fillId="198" borderId="0" xfId="0" applyNumberFormat="1" applyFont="1" applyFill="1" applyBorder="1" applyAlignment="1">
      <x:alignment vertical="center"/>
    </x:xf>
    <x:xf numFmtId="0" fontId="1" fillId="199" borderId="0" xfId="0" applyNumberFormat="1" applyFont="1" applyFill="1" applyBorder="1" applyAlignment="1">
      <x:alignment vertical="center"/>
    </x:xf>
    <x:xf numFmtId="0" fontId="8" fillId="199" borderId="0" xfId="0" applyNumberFormat="1" applyFont="1" applyFill="1" applyBorder="1" applyAlignment="1">
      <x:alignment vertical="center"/>
    </x:xf>
    <x:xf numFmtId="0" fontId="1" fillId="200" borderId="0" xfId="0" applyNumberFormat="1" applyFont="1" applyFill="1" applyBorder="1" applyAlignment="1">
      <x:alignment vertical="center"/>
    </x:xf>
    <x:xf numFmtId="0" fontId="8" fillId="200" borderId="0" xfId="0" applyNumberFormat="1" applyFont="1" applyFill="1" applyBorder="1" applyAlignment="1">
      <x:alignment vertical="center"/>
    </x:xf>
    <x:xf numFmtId="0" fontId="1" fillId="201" borderId="0" xfId="0" applyNumberFormat="1" applyFont="1" applyFill="1" applyBorder="1" applyAlignment="1">
      <x:alignment vertical="center"/>
    </x:xf>
    <x:xf numFmtId="0" fontId="8" fillId="201" borderId="0" xfId="0" applyNumberFormat="1" applyFont="1" applyFill="1" applyBorder="1" applyAlignment="1">
      <x:alignment vertical="center"/>
    </x:xf>
    <x:xf numFmtId="0" fontId="1" fillId="202" borderId="0" xfId="0" applyNumberFormat="1" applyFont="1" applyFill="1" applyBorder="1" applyAlignment="1">
      <x:alignment vertical="center"/>
    </x:xf>
    <x:xf numFmtId="0" fontId="8" fillId="202" borderId="0" xfId="0" applyNumberFormat="1" applyFont="1" applyFill="1" applyBorder="1" applyAlignment="1">
      <x:alignment vertical="center"/>
    </x:xf>
    <x:xf numFmtId="0" fontId="1" fillId="203" borderId="0" xfId="0" applyNumberFormat="1" applyFont="1" applyFill="1" applyBorder="1" applyAlignment="1">
      <x:alignment vertical="center"/>
    </x:xf>
    <x:xf numFmtId="0" fontId="8" fillId="203" borderId="0" xfId="0" applyNumberFormat="1" applyFont="1" applyFill="1" applyBorder="1" applyAlignment="1">
      <x:alignment vertical="center"/>
    </x:xf>
    <x:xf numFmtId="0" fontId="1" fillId="204" borderId="0" xfId="0" applyNumberFormat="1" applyFont="1" applyFill="1" applyBorder="1" applyAlignment="1">
      <x:alignment vertical="center"/>
    </x:xf>
    <x:xf numFmtId="0" fontId="8" fillId="204" borderId="0" xfId="0" applyNumberFormat="1" applyFont="1" applyFill="1" applyBorder="1" applyAlignment="1">
      <x:alignment vertical="center"/>
    </x:xf>
    <x:xf numFmtId="0" fontId="1" fillId="205" borderId="0" xfId="0" applyNumberFormat="1" applyFont="1" applyFill="1" applyBorder="1" applyAlignment="1">
      <x:alignment vertical="center"/>
    </x:xf>
    <x:xf numFmtId="0" fontId="8" fillId="205" borderId="0" xfId="0" applyNumberFormat="1" applyFont="1" applyFill="1" applyBorder="1" applyAlignment="1">
      <x:alignment vertical="center"/>
    </x:xf>
    <x:xf numFmtId="0" fontId="1" fillId="206" borderId="0" xfId="0" applyNumberFormat="1" applyFont="1" applyFill="1" applyBorder="1" applyAlignment="1">
      <x:alignment vertical="center"/>
    </x:xf>
    <x:xf numFmtId="0" fontId="8" fillId="206" borderId="0" xfId="0" applyNumberFormat="1" applyFont="1" applyFill="1" applyBorder="1" applyAlignment="1">
      <x:alignment vertical="center"/>
    </x:xf>
    <x:xf numFmtId="0" fontId="1" fillId="207" borderId="0" xfId="0" applyNumberFormat="1" applyFont="1" applyFill="1" applyBorder="1" applyAlignment="1">
      <x:alignment vertical="center"/>
    </x:xf>
    <x:xf numFmtId="0" fontId="8" fillId="207" borderId="0" xfId="0" applyNumberFormat="1" applyFont="1" applyFill="1" applyBorder="1" applyAlignment="1">
      <x:alignment vertical="center"/>
    </x:xf>
    <x:xf numFmtId="0" fontId="1" fillId="208" borderId="0" xfId="0" applyNumberFormat="1" applyFont="1" applyFill="1" applyBorder="1" applyAlignment="1">
      <x:alignment vertical="center"/>
    </x:xf>
    <x:xf numFmtId="0" fontId="8" fillId="208" borderId="0" xfId="0" applyNumberFormat="1" applyFont="1" applyFill="1" applyBorder="1" applyAlignment="1">
      <x:alignment vertical="center"/>
    </x:xf>
    <x:xf numFmtId="0" fontId="1" fillId="209" borderId="0" xfId="0" applyNumberFormat="1" applyFont="1" applyFill="1" applyBorder="1" applyAlignment="1">
      <x:alignment vertical="center"/>
    </x:xf>
    <x:xf numFmtId="0" fontId="8" fillId="209" borderId="0" xfId="0" applyNumberFormat="1" applyFont="1" applyFill="1" applyBorder="1" applyAlignment="1">
      <x:alignment vertical="center"/>
    </x:xf>
    <x:xf numFmtId="0" fontId="1" fillId="210" borderId="0" xfId="0" applyNumberFormat="1" applyFont="1" applyFill="1" applyBorder="1" applyAlignment="1">
      <x:alignment vertical="center"/>
    </x:xf>
    <x:xf numFmtId="0" fontId="8" fillId="210" borderId="0" xfId="0" applyNumberFormat="1" applyFont="1" applyFill="1" applyBorder="1" applyAlignment="1">
      <x:alignment vertical="center"/>
    </x:xf>
    <x:xf numFmtId="0" fontId="1" fillId="211" borderId="0" xfId="0" applyNumberFormat="1" applyFont="1" applyFill="1" applyBorder="1" applyAlignment="1">
      <x:alignment vertical="center"/>
    </x:xf>
    <x:xf numFmtId="0" fontId="4" fillId="211" borderId="0" xfId="0" applyNumberFormat="1" applyFont="1" applyFill="1" applyBorder="1" applyAlignment="1">
      <x:alignment vertical="center"/>
    </x:xf>
    <x:xf numFmtId="0" fontId="1" fillId="212" borderId="0" xfId="0" applyNumberFormat="1" applyFont="1" applyFill="1" applyBorder="1" applyAlignment="1">
      <x:alignment vertical="center"/>
    </x:xf>
    <x:xf numFmtId="0" fontId="4" fillId="212" borderId="0" xfId="0" applyNumberFormat="1" applyFont="1" applyFill="1" applyBorder="1" applyAlignment="1">
      <x:alignment vertical="center"/>
    </x:xf>
    <x:xf numFmtId="0" fontId="1" fillId="213" borderId="0" xfId="0" applyNumberFormat="1" applyFont="1" applyFill="1" applyBorder="1" applyAlignment="1">
      <x:alignment vertical="center"/>
    </x:xf>
    <x:xf numFmtId="0" fontId="4" fillId="213" borderId="0" xfId="0" applyNumberFormat="1" applyFont="1" applyFill="1" applyBorder="1" applyAlignment="1">
      <x:alignment vertical="center"/>
    </x:xf>
    <x:xf numFmtId="0" fontId="1" fillId="214" borderId="0" xfId="0" applyNumberFormat="1" applyFont="1" applyFill="1" applyBorder="1" applyAlignment="1">
      <x:alignment vertical="center"/>
    </x:xf>
    <x:xf numFmtId="0" fontId="4" fillId="214" borderId="0" xfId="0" applyNumberFormat="1" applyFont="1" applyFill="1" applyBorder="1" applyAlignment="1">
      <x:alignment vertical="center"/>
    </x:xf>
    <x:xf numFmtId="0" fontId="1" fillId="215" borderId="0" xfId="0" applyNumberFormat="1" applyFont="1" applyFill="1" applyBorder="1" applyAlignment="1">
      <x:alignment vertical="center"/>
    </x:xf>
    <x:xf numFmtId="0" fontId="4" fillId="215" borderId="0" xfId="0" applyNumberFormat="1" applyFont="1" applyFill="1" applyBorder="1" applyAlignment="1">
      <x:alignment vertical="center"/>
    </x:xf>
    <x:xf numFmtId="0" fontId="1" fillId="216" borderId="0" xfId="0" applyNumberFormat="1" applyFont="1" applyFill="1" applyBorder="1" applyAlignment="1">
      <x:alignment vertical="center"/>
    </x:xf>
    <x:xf numFmtId="0" fontId="4" fillId="216" borderId="0" xfId="0" applyNumberFormat="1" applyFont="1" applyFill="1" applyBorder="1" applyAlignment="1">
      <x:alignment vertical="center"/>
    </x:xf>
    <x:xf numFmtId="0" fontId="1" fillId="217" borderId="0" xfId="0" applyNumberFormat="1" applyFont="1" applyFill="1" applyBorder="1" applyAlignment="1">
      <x:alignment vertical="center"/>
    </x:xf>
    <x:xf numFmtId="0" fontId="4" fillId="217" borderId="0" xfId="0" applyNumberFormat="1" applyFont="1" applyFill="1" applyBorder="1" applyAlignment="1">
      <x:alignment vertical="center"/>
    </x:xf>
    <x:xf numFmtId="0" fontId="1" fillId="218" borderId="0" xfId="0" applyNumberFormat="1" applyFont="1" applyFill="1" applyBorder="1" applyAlignment="1">
      <x:alignment vertical="center"/>
    </x:xf>
    <x:xf numFmtId="0" fontId="4" fillId="218" borderId="0" xfId="0" applyNumberFormat="1" applyFont="1" applyFill="1" applyBorder="1" applyAlignment="1">
      <x:alignment vertical="center"/>
    </x:xf>
    <x:xf numFmtId="0" fontId="1" fillId="219" borderId="0" xfId="0" applyNumberFormat="1" applyFont="1" applyFill="1" applyBorder="1" applyAlignment="1">
      <x:alignment vertical="center"/>
    </x:xf>
    <x:xf numFmtId="0" fontId="8" fillId="219" borderId="0" xfId="0" applyNumberFormat="1" applyFont="1" applyFill="1" applyBorder="1" applyAlignment="1">
      <x:alignment vertical="center"/>
    </x:xf>
    <x:xf numFmtId="0" fontId="1" fillId="220" borderId="0" xfId="0" applyNumberFormat="1" applyFont="1" applyFill="1" applyBorder="1" applyAlignment="1">
      <x:alignment vertical="center"/>
    </x:xf>
    <x:xf numFmtId="0" fontId="8" fillId="220" borderId="0" xfId="0" applyNumberFormat="1" applyFont="1" applyFill="1" applyBorder="1" applyAlignment="1">
      <x:alignment vertical="center"/>
    </x:xf>
    <x:xf numFmtId="0" fontId="1" fillId="221" borderId="0" xfId="0" applyNumberFormat="1" applyFont="1" applyFill="1" applyBorder="1" applyAlignment="1">
      <x:alignment vertical="center"/>
    </x:xf>
    <x:xf numFmtId="0" fontId="8" fillId="221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6" fillId="5" borderId="0" xfId="0" applyNumberFormat="1" applyFont="1" applyFill="1" applyBorder="1" applyAlignment="1">
      <x:alignment vertical="center"/>
    </x:xf>
    <x:xf numFmtId="203" fontId="11" fillId="5" borderId="0" xfId="0" applyNumberFormat="1" applyFont="1" applyFill="1" applyBorder="1" applyAlignment="1">
      <x:alignment vertical="center"/>
    </x:xf>
    <x:xf numFmtId="203" fontId="11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2271B"/>
      </x:font>
      <x:fill>
        <x:patternFill patternType="solid">
          <x:bgColor rgb="FFFCE6E3"/>
        </x:patternFill>
      </x:fill>
    </x:dxf>
    <x:dxf>
      <x:font>
        <x:b/>
        <x:color rgb="FFA2271B"/>
      </x:font>
      <x:fill>
        <x:patternFill patternType="solid">
          <x:bgColor rgb="FFFCE6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1669e2fbe48ea" /><Relationship Type="http://schemas.openxmlformats.org/officeDocument/2006/relationships/theme" Target="/xl/theme/theme1.xml" Id="R015cd84271014f87" /><Relationship Type="http://schemas.openxmlformats.org/officeDocument/2006/relationships/sharedStrings" Target="/xl/sharedStrings.xml" Id="R04b8d8ec4fbc40fd" /><Relationship Type="http://schemas.openxmlformats.org/officeDocument/2006/relationships/worksheet" Target="/xl/worksheets/sheet1.xml" Id="Rc230ed63adf446c7" /><Relationship Type="http://schemas.openxmlformats.org/officeDocument/2006/relationships/worksheet" Target="/xl/worksheets/sheet2.xml" Id="R58d0125c7ea5402c" /><Relationship Type="http://schemas.openxmlformats.org/officeDocument/2006/relationships/worksheet" Target="/xl/worksheets/sheet3.xml" Id="R94c421e7b97444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931"/>
  </x:sheetPr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44" hidden="0" customWidth="1"/>
    <x:col min="4" max="4" width="3" hidden="0" customWidth="1"/>
    <x:col min="5" max="5" width="19" hidden="0" customWidth="1"/>
    <x:col min="6" max="6" width="3" hidden="0" customWidth="1"/>
    <x:col min="7" max="7" width="3" hidden="0" customWidth="1"/>
    <x:col min="8" max="8" width="47" hidden="0" customWidth="1"/>
    <x:col min="9" max="9" width="3" hidden="0" customWidth="1"/>
    <x:col min="10" max="10" width="18" hidden="0" customWidth="1"/>
  </x:cols>
  <x:sheetData>
    <x:row r="1" ht="25" customHeight="1"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C2" s="3" t="str">
        <x:v>Proposed season economics</x:v>
      </x:c>
      <x:c r="D2" s="2"/>
      <x:c r="E2" s="2"/>
      <x:c r="F2" s="2"/>
      <x:c r="G2" s="2"/>
      <x:c r="H2" s="2"/>
      <x:c r="I2" s="2"/>
      <x:c r="J2" s="2"/>
    </x:row>
    <x:row r="3" ht="25" customHeight="1">
      <x:c r="C3" s="4" t="str">
        <x:v>19 September 2026. Conditional sellout plan. No launch settings changed.</x:v>
      </x:c>
      <x:c r="D3" s="2"/>
      <x:c r="E3" s="2"/>
      <x:c r="F3" s="2"/>
      <x:c r="G3" s="2"/>
      <x:c r="H3" s="2"/>
      <x:c r="I3" s="2"/>
      <x:c r="J3" s="2"/>
    </x:row>
    <x:row r="4" ht="25" customHeight="1"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C5" s="6" t="str">
        <x:v>ALL 22 SEASONS SOLD OUT</x:v>
      </x:c>
      <x:c r="D5" s="6"/>
      <x:c r="E5" s="6"/>
      <x:c r="F5" s="2"/>
      <x:c r="G5" s="2"/>
      <x:c r="H5" s="6" t="str">
        <x:v>EDITABLE ASSUMPTIONS</x:v>
      </x:c>
      <x:c r="I5" s="6"/>
      <x:c r="J5" s="6"/>
    </x:row>
    <x:row r="6" ht="25" customHeight="1">
      <x:c r="C6" s="2" t="str">
        <x:v>Collections</x:v>
      </x:c>
      <x:c r="D6" s="2"/>
      <x:c r="E6" s="17" t="n">
        <x:f>SUM('Seasons'!E6:E27)</x:f>
        <x:v>216</x:v>
      </x:c>
      <x:c r="F6" s="2"/>
      <x:c r="G6" s="2"/>
      <x:c r="H6" s="2" t="str">
        <x:v>Mint price (ETH)</x:v>
      </x:c>
      <x:c r="I6" s="2"/>
      <x:c r="J6" s="9" t="n">
        <x:v>0.005</x:v>
      </x:c>
    </x:row>
    <x:row r="7" ht="25" customHeight="1">
      <x:c r="C7" s="2" t="str">
        <x:v>NFT supply</x:v>
      </x:c>
      <x:c r="D7" s="2"/>
      <x:c r="E7" s="17" t="n">
        <x:f>SUM('Seasons'!J6:J27)</x:f>
        <x:v>53000</x:v>
      </x:c>
      <x:c r="F7" s="2"/>
      <x:c r="G7" s="2"/>
      <x:c r="H7" s="2" t="str">
        <x:v>Winner share of mint value</x:v>
      </x:c>
      <x:c r="I7" s="2"/>
      <x:c r="J7" s="10" t="n">
        <x:v>0.7</x:v>
      </x:c>
    </x:row>
    <x:row r="8" ht="25" customHeight="1">
      <x:c r="C8" s="2" t="str">
        <x:v>Gross mint value (ETH)</x:v>
      </x:c>
      <x:c r="D8" s="2"/>
      <x:c r="E8" s="13" t="n">
        <x:f>SUM('Seasons'!K6:K27)</x:f>
        <x:v>265</x:v>
      </x:c>
      <x:c r="F8" s="2"/>
      <x:c r="G8" s="2"/>
      <x:c r="H8" s="2" t="str">
        <x:v>Affiliate pool budget</x:v>
      </x:c>
      <x:c r="I8" s="2"/>
      <x:c r="J8" s="10" t="n">
        <x:v>0.1</x:v>
      </x:c>
    </x:row>
    <x:row r="9" ht="25" customHeight="1">
      <x:c r="C9" s="2" t="str">
        <x:v>Winner prizes (ETH)</x:v>
      </x:c>
      <x:c r="D9" s="2"/>
      <x:c r="E9" s="13" t="n">
        <x:f>SUM('Seasons'!L6:L27)</x:f>
        <x:v>185.5</x:v>
      </x:c>
      <x:c r="F9" s="2"/>
      <x:c r="G9" s="2"/>
      <x:c r="H9" s="2" t="str">
        <x:v>Operator share (calculated)</x:v>
      </x:c>
      <x:c r="I9" s="2"/>
      <x:c r="J9" s="12" t="n">
        <x:f>1-SUM(J7:J8)</x:f>
        <x:v>0.20000000000000007</x:v>
      </x:c>
    </x:row>
    <x:row r="10" ht="25" customHeight="1">
      <x:c r="C10" s="2" t="str">
        <x:v>Affiliate budget (ETH)</x:v>
      </x:c>
      <x:c r="D10" s="2"/>
      <x:c r="E10" s="13" t="n">
        <x:f>SUM('Seasons'!M6:M27)</x:f>
        <x:v>26.5</x:v>
      </x:c>
      <x:c r="F10" s="2"/>
      <x:c r="G10" s="2"/>
      <x:c r="H10" s="2" t="str">
        <x:v>Gas and VRF budget / collection (ETH)</x:v>
      </x:c>
      <x:c r="I10" s="2"/>
      <x:c r="J10" s="9" t="n">
        <x:v>0.04</x:v>
      </x:c>
    </x:row>
    <x:row r="11" ht="29" customHeight="1">
      <x:c r="C11" s="21" t="str">
        <x:v>Operator gross allocation (ETH)</x:v>
      </x:c>
      <x:c r="D11" s="21"/>
      <x:c r="E11" s="22" t="n">
        <x:f>SUM('Seasons'!N6:N27)</x:f>
        <x:v>53</x:v>
      </x:c>
      <x:c r="F11" s="2"/>
      <x:c r="G11" s="2"/>
      <x:c r="H11" s="2" t="str">
        <x:v>Winner credit funding / win (ETH)</x:v>
      </x:c>
      <x:c r="I11" s="2"/>
      <x:c r="J11" s="13" t="n">
        <x:f>J6</x:f>
        <x:v>0.005</x:v>
      </x:c>
    </x:row>
    <x:row r="12" ht="25" customHeight="1">
      <x:c r="C12" s="2"/>
      <x:c r="D12" s="2"/>
      <x:c r="E12" s="2"/>
      <x:c r="F12" s="2"/>
      <x:c r="G12" s="2"/>
      <x:c r="H12" s="2" t="str">
        <x:v>One-time audit, legal, security (USD)</x:v>
      </x:c>
      <x:c r="I12" s="2"/>
      <x:c r="J12" s="14" t="n">
        <x:v>30000</x:v>
      </x:c>
    </x:row>
    <x:row r="13" ht="25" customHeight="1">
      <x:c r="C13" s="2" t="str">
        <x:v>Gas and VRF budget (ETH)</x:v>
      </x:c>
      <x:c r="D13" s="2"/>
      <x:c r="E13" s="13" t="n">
        <x:f>E6*J10</x:f>
        <x:v>8.64</x:v>
      </x:c>
      <x:c r="F13" s="2"/>
      <x:c r="G13" s="2"/>
      <x:c r="H13" s="2" t="str">
        <x:v>Recurring overhead / month (USD)</x:v>
      </x:c>
      <x:c r="I13" s="2"/>
      <x:c r="J13" s="14" t="n">
        <x:v>500</x:v>
      </x:c>
    </x:row>
    <x:row r="14" ht="25" customHeight="1">
      <x:c r="C14" s="2" t="str">
        <x:v>Winner credit funding budget (ETH)</x:v>
      </x:c>
      <x:c r="D14" s="2"/>
      <x:c r="E14" s="13" t="n">
        <x:f>E6*J11</x:f>
        <x:v>1.08</x:v>
      </x:c>
      <x:c r="F14" s="2"/>
      <x:c r="G14" s="2"/>
      <x:c r="H14" s="2" t="str">
        <x:v>Illustrative USD per ETH</x:v>
      </x:c>
      <x:c r="I14" s="2"/>
      <x:c r="J14" s="14" t="n">
        <x:v>3000</x:v>
      </x:c>
    </x:row>
    <x:row r="15" ht="25" customHeight="1">
      <x:c r="C15" s="2" t="str">
        <x:v>Elapsed horizon (days)</x:v>
      </x:c>
      <x:c r="D15" s="2"/>
      <x:c r="E15" s="17" t="n">
        <x:f>E6*J15</x:f>
        <x:v>1512</x:v>
      </x:c>
      <x:c r="F15" s="2"/>
      <x:c r="G15" s="2"/>
      <x:c r="H15" s="2" t="str">
        <x:v>Average elapsed days / collection</x:v>
      </x:c>
      <x:c r="I15" s="2"/>
      <x:c r="J15" s="15" t="n">
        <x:v>7</x:v>
      </x:c>
    </x:row>
    <x:row r="16" ht="25" customHeight="1">
      <x:c r="C16" s="2" t="str">
        <x:v>Budgeted operating months</x:v>
      </x:c>
      <x:c r="D16" s="2"/>
      <x:c r="E16" s="17" t="n">
        <x:f>ROUNDUP(E15/J16,0)</x:f>
        <x:v>50</x:v>
      </x:c>
      <x:c r="F16" s="2"/>
      <x:c r="G16" s="2"/>
      <x:c r="H16" s="2" t="str">
        <x:v>Days per budget month</x:v>
      </x:c>
      <x:c r="I16" s="2"/>
      <x:c r="J16" s="16" t="n">
        <x:v>30.4375</x:v>
      </x:c>
    </x:row>
    <x:row r="17" ht="25" customHeight="1">
      <x:c r="C17" s="2" t="str">
        <x:v>Total overhead budget (USD)</x:v>
      </x:c>
      <x:c r="D17" s="2"/>
      <x:c r="E17" s="18" t="n">
        <x:f>J12+E16*J13</x:f>
        <x:v>55000</x:v>
      </x:c>
      <x:c r="F17" s="2"/>
      <x:c r="G17" s="2"/>
      <x:c r="H17" s="2" t="str">
        <x:v>Retain this share of operator gross</x:v>
      </x:c>
      <x:c r="I17" s="2"/>
      <x:c r="J17" s="10" t="n">
        <x:v>0.1</x:v>
      </x:c>
    </x:row>
    <x:row r="18" ht="25" customHeight="1">
      <x:c r="C18" s="2" t="str">
        <x:v>Overhead converted to ETH</x:v>
      </x:c>
      <x:c r="D18" s="2"/>
      <x:c r="E18" s="13" t="n">
        <x:f>E17/J14</x:f>
        <x:v>18.333333333333332</x:v>
      </x:c>
      <x:c r="F18" s="2"/>
      <x:c r="G18" s="2"/>
      <x:c r="H18" s="2" t="str">
        <x:v>Royalty revenue (ETH)</x:v>
      </x:c>
      <x:c r="I18" s="2"/>
      <x:c r="J18" s="9" t="n">
        <x:v>0</x:v>
      </x:c>
    </x:row>
    <x:row r="19" ht="25" customHeight="1">
      <x:c r="C19" s="2"/>
      <x:c r="D19" s="2"/>
      <x:c r="E19" s="2"/>
      <x:c r="F19" s="2"/>
      <x:c r="G19" s="2"/>
      <x:c r="H19" s="2" t="str">
        <x:v>Total deadline / collection (days)</x:v>
      </x:c>
      <x:c r="I19" s="2"/>
      <x:c r="J19" s="15" t="n">
        <x:v>14</x:v>
      </x:c>
    </x:row>
    <x:row r="20" ht="29" customHeight="1">
      <x:c r="C20" s="21" t="str">
        <x:v>Pre-tax modeled cash surplus (ETH)</x:v>
      </x:c>
      <x:c r="D20" s="21"/>
      <x:c r="E20" s="22" t="n">
        <x:f>E11+J18-SUM(E13:E14)-E18</x:f>
        <x:v>24.94666666666667</x:v>
      </x:c>
      <x:c r="F20" s="2"/>
      <x:c r="G20" s="2"/>
      <x:c r="H20" s="2" t="str">
        <x:v>Affiliate enrollment included (hours)</x:v>
      </x:c>
      <x:c r="I20" s="2"/>
      <x:c r="J20" s="15" t="n">
        <x:v>48</x:v>
      </x:c>
    </x:row>
    <x:row r="21" ht="25" customHeight="1">
      <x:c r="C21" s="2" t="str">
        <x:v>Treasury reserve retained (ETH)</x:v>
      </x:c>
      <x:c r="D21" s="2"/>
      <x:c r="E21" s="13" t="n">
        <x:f>E11*J17</x:f>
        <x:v>5.300000000000001</x:v>
      </x:c>
      <x:c r="F21" s="2"/>
      <x:c r="G21" s="2"/>
      <x:c r="H21" s="2" t="str">
        <x:v>Referral payout cap / referred value</x:v>
      </x:c>
      <x:c r="I21" s="2"/>
      <x:c r="J21" s="10" t="n">
        <x:v>0.2</x:v>
      </x:c>
    </x:row>
    <x:row r="22" ht="29" customHeight="1">
      <x:c r="C22" s="21" t="str">
        <x:v>Possible owner distribution (ETH)</x:v>
      </x:c>
      <x:c r="D22" s="21"/>
      <x:c r="E22" s="25" t="n">
        <x:f>E20-E21</x:f>
        <x:v>19.64666666666667</x:v>
      </x:c>
      <x:c r="F22" s="2"/>
      <x:c r="G22" s="2"/>
      <x:c r="H22" s="2" t="str">
        <x:v>Required organic sellouts before growth</x:v>
      </x:c>
      <x:c r="I22" s="2"/>
      <x:c r="J22" s="15" t="n">
        <x:v>3</x:v>
      </x:c>
    </x:row>
    <x:row r="23" ht="29" customHeight="1">
      <x:c r="C23" s="21" t="str">
        <x:v>Illustrative owner distribution (USD)</x:v>
      </x:c>
      <x:c r="D23" s="21"/>
      <x:c r="E23" s="26" t="n">
        <x:f>E22*J14</x:f>
        <x:v>58940.00000000001</x:v>
      </x:c>
      <x:c r="F23" s="2"/>
      <x:c r="G23" s="2"/>
      <x:c r="H23" s="2" t="str">
        <x:v>Growth sellout target (days)</x:v>
      </x:c>
      <x:c r="I23" s="2"/>
      <x:c r="J23" s="15" t="n">
        <x:v>7</x:v>
      </x:c>
    </x:row>
    <x:row r="24" ht="25" customHeight="1">
      <x:c r="C24" s="2"/>
      <x:c r="D24" s="2"/>
      <x:c r="E24" s="2"/>
      <x:c r="F24" s="2"/>
      <x:c r="G24" s="2"/>
      <x:c r="H24" s="2" t="str">
        <x:v>Minimum paid unique wallets / supply</x:v>
      </x:c>
      <x:c r="I24" s="2"/>
      <x:c r="J24" s="10" t="n">
        <x:v>0.4</x:v>
      </x:c>
    </x:row>
    <x:row r="25" ht="25" customHeight="1">
      <x:c r="C25" s="2" t="str">
        <x:v>Prize-only expected value / NFT (ETH)</x:v>
      </x:c>
      <x:c r="D25" s="2"/>
      <x:c r="E25" s="13" t="n">
        <x:f>J6*J7</x:f>
        <x:v>0.0034999999999999996</x:v>
      </x:c>
      <x:c r="F25" s="2"/>
      <x:c r="G25" s="2"/>
      <x:c r="H25" s="2" t="str">
        <x:v>Maximum top-5 wallet share of supply</x:v>
      </x:c>
      <x:c r="I25" s="2"/>
      <x:c r="J25" s="10" t="n">
        <x:v>0.25</x:v>
      </x:c>
    </x:row>
    <x:row r="26" ht="25" customHeight="1">
      <x:c r="C26" s="2" t="str">
        <x:v>Price less prize-only EV (ETH)</x:v>
      </x:c>
      <x:c r="D26" s="2"/>
      <x:c r="E26" s="13" t="n">
        <x:f>J6-E25</x:f>
        <x:v>0.0015000000000000005</x:v>
      </x:c>
      <x:c r="F26" s="2"/>
      <x:c r="G26" s="2"/>
      <x:c r="H26" s="2"/>
      <x:c r="I26" s="2"/>
      <x:c r="J26" s="2"/>
    </x:row>
    <x:row r="27" ht="25" customHeight="1">
      <x:c r="C27" s="2"/>
      <x:c r="D27" s="2"/>
      <x:c r="E27" s="2"/>
      <x:c r="F27" s="2"/>
      <x:c r="G27" s="2"/>
      <x:c r="H27" s="4" t="str">
        <x:v>Blue numbers on amber cells are editable.</x:v>
      </x:c>
      <x:c r="I27" s="2"/>
      <x:c r="J27" s="2"/>
    </x:row>
    <x:row r="28" ht="25" customHeight="1">
      <x:c r="C28" s="2"/>
      <x:c r="D28" s="2"/>
      <x:c r="E28" s="2"/>
      <x:c r="F28" s="2"/>
      <x:c r="G28" s="2"/>
      <x:c r="H28" s="4" t="str">
        <x:v>Stress test: change gas / VRF to 0.12 ETH.</x:v>
      </x:c>
      <x:c r="I28" s="2"/>
      <x:c r="J28" s="2"/>
    </x:row>
    <x:row r="29" ht="25" customHeight="1">
      <x:c r="C29" s="2"/>
      <x:c r="D29" s="2"/>
      <x:c r="E29" s="2"/>
      <x:c r="F29" s="2"/>
      <x:c r="G29" s="2"/>
      <x:c r="H29" s="2"/>
      <x:c r="I29" s="2"/>
      <x:c r="J29" s="2"/>
    </x:row>
    <x:row r="30" ht="30" customHeight="1">
      <x:c r="C30" s="6" t="str">
        <x:v>WHAT THE PROJECTION MEANS</x:v>
      </x:c>
      <x:c r="D30" s="6"/>
      <x:c r="E30" s="6"/>
      <x:c r="F30" s="6"/>
      <x:c r="G30" s="6"/>
      <x:c r="H30" s="6"/>
      <x:c r="I30" s="6"/>
      <x:c r="J30" s="6"/>
    </x:row>
    <x:row r="31" ht="25" customHeight="1">
      <x:c r="C31" s="27" t="str">
        <x:v>All 216 collections sell out. Supply only grows after the demand gates pass. This is a conditional ceiling, not a demand forecast.</x:v>
      </x:c>
      <x:c r="D31" s="2"/>
      <x:c r="E31" s="2"/>
      <x:c r="F31" s="2"/>
      <x:c r="G31" s="2"/>
      <x:c r="H31" s="2"/>
      <x:c r="I31" s="2"/>
      <x:c r="J31" s="2"/>
    </x:row>
    <x:row r="32" ht="25" customHeight="1">
      <x:c r="C32" s="27" t="str">
        <x:v>Owner distribution is modeled cash after the listed budgets, before tax. It is not guaranteed profit or a promised return.</x:v>
      </x:c>
      <x:c r="D32" s="2"/>
      <x:c r="E32" s="2"/>
      <x:c r="F32" s="2"/>
      <x:c r="G32" s="2"/>
      <x:c r="H32" s="2"/>
      <x:c r="I32" s="2"/>
      <x:c r="J32" s="2"/>
    </x:row>
    <x:row r="33" ht="25" customHeight="1">
      <x:c r="C33" s="27" t="str">
        <x:v>ETH/USD stays constant at the editable illustrative rate. Costs are planning allowances, not supplier quotes.</x:v>
      </x:c>
      <x:c r="D33" s="2"/>
      <x:c r="E33" s="2"/>
      <x:c r="F33" s="2"/>
      <x:c r="G33" s="2"/>
      <x:c r="H33" s="2"/>
      <x:c r="I33" s="2"/>
      <x:c r="J33" s="2"/>
    </x:row>
    <x:row r="34" ht="25" customHeight="1">
      <x:c r="C34" s="27" t="str">
        <x:v>Additional development, team, tax and unbudgeted expenses are excluded. Add these to the cost assumptions before committing capital.</x:v>
      </x:c>
      <x:c r="D34" s="2"/>
      <x:c r="E34" s="2"/>
      <x:c r="F34" s="2"/>
      <x:c r="G34" s="2"/>
      <x:c r="H34" s="2"/>
      <x:c r="I34" s="2"/>
      <x:c r="J34" s="2"/>
    </x:row>
    <x:row r="35" ht="25" customHeight="1">
      <x:c r="C35" s="27" t="str">
        <x:v>Sponsored tickets are operator funded, not external customer revenue. Their full mint price is deducted through the credit budget.</x:v>
      </x:c>
      <x:c r="D35" s="2"/>
      <x:c r="E35" s="2"/>
      <x:c r="F35" s="2"/>
      <x:c r="G35" s="2"/>
      <x:c r="H35" s="2"/>
      <x:c r="I35" s="2"/>
      <x:c r="J35" s="2"/>
    </x:row>
    <x:row r="36" ht="25" customHeight="1">
      <x:c r="C36" s="27" t="str">
        <x:v>Credit budget covers up to 216 winning wallets, once per wallet, including the last collection’s future credit.</x:v>
      </x:c>
      <x:c r="D36" s="2"/>
      <x:c r="E36" s="2"/>
      <x:c r="F36" s="2"/>
      <x:c r="G36" s="2"/>
      <x:c r="H36" s="2"/>
      <x:c r="I36" s="2"/>
      <x:c r="J36" s="2"/>
    </x:row>
    <x:row r="37" ht="25" customHeight="1">
      <x:c r="C37" s="27" t="str">
        <x:v>With no founding credits, at most 215 credits can be redeemed inside this horizon. Higher future mint prices require more credit backing.</x:v>
      </x:c>
      <x:c r="D37" s="2"/>
      <x:c r="E37" s="2"/>
      <x:c r="F37" s="2"/>
      <x:c r="G37" s="2"/>
      <x:c r="H37" s="2"/>
      <x:c r="I37" s="2"/>
      <x:c r="J37" s="2"/>
    </x:row>
    <x:row r="38" ht="25" customHeight="1">
      <x:c r="C38" s="27" t="str">
        <x:v>Recurring overhead excludes salaries. Delays add monthly costs. Failed sellouts refund primary payments and still incur launch gas.</x:v>
      </x:c>
      <x:c r="D38" s="2"/>
      <x:c r="E38" s="2"/>
      <x:c r="F38" s="2"/>
      <x:c r="G38" s="2"/>
      <x:c r="H38" s="2"/>
      <x:c r="I38" s="2"/>
      <x:c r="J38" s="2"/>
    </x:row>
    <x:row r="39" ht="30" customHeight="1">
      <x:c r="C39" s="6" t="str">
        <x:v>AFFILIATE PROPOSAL AND COLLECTOR ENGAGEMENT</x:v>
      </x:c>
      <x:c r="D39" s="6"/>
      <x:c r="E39" s="6"/>
      <x:c r="F39" s="6"/>
      <x:c r="G39" s="6"/>
      <x:c r="H39" s="6"/>
      <x:c r="I39" s="6"/>
      <x:c r="J39" s="6"/>
    </x:row>
    <x:row r="40" ht="25" customHeight="1">
      <x:c r="C40" s="27" t="str">
        <x:v>Proposed payout = MIN(affiliate budget × total mint value, referral cap × eligible referred value), shared pro rata by eligible sales.</x:v>
      </x:c>
      <x:c r="D40" s="2"/>
      <x:c r="E40" s="2"/>
      <x:c r="F40" s="2"/>
      <x:c r="G40" s="2"/>
      <x:c r="H40" s="2"/>
      <x:c r="I40" s="2"/>
      <x:c r="J40" s="2"/>
    </x:row>
    <x:row r="41" ht="25" customHeight="1">
      <x:c r="C41" s="27" t="str">
        <x:v>This capped payout requires a contract change. The projection conservatively pays the full affiliate budget. Unused budget stays in treasury.</x:v>
      </x:c>
      <x:c r="D41" s="2"/>
      <x:c r="E41" s="2"/>
      <x:c r="F41" s="2"/>
      <x:c r="G41" s="2"/>
      <x:c r="H41" s="2"/>
      <x:c r="I41" s="2"/>
      <x:c r="J41" s="2"/>
    </x:row>
    <x:row r="42" ht="25" customHeight="1">
      <x:c r="C42" s="27" t="str">
        <x:v>Run one collection at a time. A 14-day total deadline includes 48 hours of enrollment. The 7-day cadence is an average, not a promise.</x:v>
      </x:c>
      <x:c r="D42" s="2"/>
      <x:c r="E42" s="2"/>
      <x:c r="F42" s="2"/>
      <x:c r="G42" s="2"/>
      <x:c r="H42" s="2"/>
      <x:c r="I42" s="2"/>
      <x:c r="J42" s="2"/>
    </x:row>
    <x:row r="43" ht="25" customHeight="1">
      <x:c r="C43" s="27" t="str">
        <x:v>Increase supply only after three organic sellouts within seven days, with paid unique wallets ≥ 40% of supply and top-five wallets ≤ 25%.</x:v>
      </x:c>
      <x:c r="D43" s="2"/>
      <x:c r="E43" s="2"/>
      <x:c r="F43" s="2"/>
      <x:c r="G43" s="2"/>
      <x:c r="H43" s="2"/>
      <x:c r="I43" s="2"/>
      <x:c r="J43" s="2"/>
    </x:row>
    <x:row r="44" ht="25" customHeight="1">
      <x:c r="C44" s="27" t="str">
        <x:v>Wallets are not people. Exclude operator funding, self-referrals and suspected coordinated wallets from growth metrics.</x:v>
      </x:c>
      <x:c r="D44" s="2"/>
      <x:c r="E44" s="2"/>
      <x:c r="F44" s="2"/>
      <x:c r="G44" s="2"/>
      <x:c r="H44" s="2"/>
      <x:c r="I44" s="2"/>
      <x:c r="J44" s="2"/>
    </x:row>
    <x:row r="45" ht="25" customHeight="1">
      <x:c r="C45" s="27" t="str">
        <x:v>Publish odds and prize terms before minting. One ticket has a 1 / supply chance. NFT resale value and future demand are unknown.</x:v>
      </x:c>
      <x:c r="D45" s="2"/>
      <x:c r="E45" s="2"/>
      <x:c r="F45" s="2"/>
      <x:c r="G45" s="2"/>
      <x:c r="H45" s="2"/>
      <x:c r="I45" s="2"/>
      <x:c r="J45" s="2"/>
    </x:row>
    <x:row r="46" ht="25" customHeight="1">
      <x:c r="C46" s="27" t="str">
        <x:v>Offer collection-set displays, holder affiliate eligibility, public winner history and one lifetime winner credit. Avoid mandatory purchases.</x:v>
      </x:c>
      <x:c r="D46" s="2"/>
      <x:c r="E46" s="2"/>
      <x:c r="F46" s="2"/>
      <x:c r="G46" s="2"/>
      <x:c r="H46" s="2"/>
      <x:c r="I46" s="2"/>
      <x:c r="J46" s="2"/>
    </x:row>
    <x:row r="47" ht="25" customHeight="1">
      <x:c r="C47" s="27" t="str">
        <x:v>Proposed pacing: wait at least 24 hours after prize claim before the next collection opens. Include this gap in the cadence assumption.</x:v>
      </x:c>
      <x:c r="D47" s="2"/>
      <x:c r="E47" s="2"/>
      <x:c r="F47" s="2"/>
      <x:c r="G47" s="2"/>
      <x:c r="H47" s="2"/>
      <x:c r="I47" s="2"/>
      <x:c r="J47" s="2"/>
    </x:row>
    <x:row r="48" ht="30" customHeight="1">
      <x:c r="C48" s="6" t="str">
        <x:v>ASSUMPTION SOURCES</x:v>
      </x:c>
      <x:c r="D48" s="6"/>
      <x:c r="E48" s="6"/>
      <x:c r="F48" s="6"/>
      <x:c r="G48" s="6"/>
      <x:c r="H48" s="6"/>
      <x:c r="I48" s="6"/>
      <x:c r="J48" s="6"/>
    </x:row>
    <x:row r="49" ht="25" customHeight="1">
      <x:c r="C49" s="27" t="str">
        <x:v>Season names, order and color collection names: user-supplied seasons.json, read on 19 September 2026.</x:v>
      </x:c>
      <x:c r="D49" s="2"/>
      <x:c r="E49" s="2"/>
      <x:c r="F49" s="2"/>
      <x:c r="G49" s="2"/>
      <x:c r="H49" s="2"/>
      <x:c r="I49" s="2"/>
      <x:c r="J49" s="2"/>
    </x:row>
    <x:row r="50" ht="25" customHeight="1">
      <x:c r="C50" s="27" t="str">
        <x:v>Supply tiers, price, shares, cost allowances and growth gates: proposed operating plan, not historical performance.</x:v>
      </x:c>
      <x:c r="D50" s="2"/>
      <x:c r="E50" s="2"/>
      <x:c r="F50" s="2"/>
      <x:c r="G50" s="2"/>
      <x:c r="H50" s="2"/>
      <x:c r="I50" s="2"/>
      <x:c r="J50" s="2"/>
    </x:row>
    <x:row r="51" ht="25" customHeight="1">
      <x:c r="C51" s="27" t="str">
        <x:v>Gas mechanics: https://ethereum.org/en/developers/docs/gas/</x:v>
      </x:c>
      <x:c r="D51" s="2"/>
      <x:c r="E51" s="2"/>
      <x:c r="F51" s="2"/>
      <x:c r="G51" s="2"/>
      <x:c r="H51" s="2"/>
      <x:c r="I51" s="2"/>
      <x:c r="J51" s="2"/>
    </x:row>
    <x:row r="52" ht="25" customHeight="1">
      <x:c r="C52" s="27" t="str">
        <x:v>VRF billing: https://docs.chain.link/vrf/v2-5/billing</x:v>
      </x:c>
      <x:c r="D52" s="2"/>
      <x:c r="E52" s="2"/>
      <x:c r="F52" s="2"/>
      <x:c r="G52" s="2"/>
      <x:c r="H52" s="2"/>
      <x:c r="I52" s="2"/>
      <x:c r="J52" s="2"/>
    </x:row>
    <x:row r="53" ht="25" customHeight="1">
      <x:c r="C53" s="27" t="str">
        <x:v>Prior V5 Sepolia deployment and rehearsal records indicate roughly 5.1 million recurring gas units before V6 changes and VRF costs.</x:v>
      </x:c>
      <x:c r="D53" s="2"/>
      <x:c r="E53" s="2"/>
      <x:c r="F53" s="2"/>
      <x:c r="G53" s="2"/>
      <x:c r="H53" s="2"/>
      <x:c r="I53" s="2"/>
      <x:c r="J53" s="2"/>
    </x:row>
    <x:row r="54" ht="25" customHeight="1">
      <x:c r="C54" s="27" t="str">
        <x:v>The 0.04 ETH allowance is not a measured V6 cost. Re-estimate V6 deployment, settlement, VRF and registry costs before launch.</x:v>
      </x:c>
      <x:c r="D54" s="2"/>
      <x:c r="E54" s="2"/>
      <x:c r="F54" s="2"/>
      <x:c r="G54" s="2"/>
      <x:c r="H54" s="2"/>
      <x:c r="I54" s="2"/>
      <x:c r="J54" s="2"/>
    </x:row>
    <x:row r="55" ht="25" customHeight="1">
      <x:c r="C55" s="2"/>
      <x:c r="D55" s="2"/>
      <x:c r="E55" s="2"/>
      <x:c r="F55" s="2"/>
      <x:c r="G55" s="2"/>
      <x:c r="H55" s="2"/>
      <x:c r="I55" s="2"/>
      <x:c r="J55" s="2"/>
    </x:row>
    <x:row r="56" ht="30" customHeight="1">
      <x:c r="C56" s="6" t="str">
        <x:v>RECONCILIATION</x:v>
      </x:c>
      <x:c r="D56" s="6"/>
      <x:c r="E56" s="6"/>
      <x:c r="F56" s="6"/>
      <x:c r="G56" s="6"/>
      <x:c r="H56" s="6"/>
      <x:c r="I56" s="6"/>
      <x:c r="J56" s="6"/>
    </x:row>
    <x:row r="57" ht="25" customHeight="1">
      <x:c r="C57" s="2" t="str">
        <x:v>Collection count less source count</x:v>
      </x:c>
      <x:c r="D57" s="2"/>
      <x:c r="E57" s="28" t="n">
        <x:f>E6-216</x:f>
        <x:v>0</x:v>
      </x:c>
      <x:c r="F57" s="2"/>
      <x:c r="G57" s="2"/>
      <x:c r="H57" s="2"/>
      <x:c r="I57" s="2"/>
      <x:c r="J57" s="2"/>
    </x:row>
    <x:row r="58" ht="25" customHeight="1">
      <x:c r="C58" s="2" t="str">
        <x:v>Mint allocation difference (ETH)</x:v>
      </x:c>
      <x:c r="D58" s="2"/>
      <x:c r="E58" s="28" t="n">
        <x:f>E8-SUM(E9:E11)</x:f>
        <x:v>0</x:v>
      </x:c>
      <x:c r="F58" s="2"/>
      <x:c r="G58" s="2"/>
      <x:c r="H58" s="2"/>
      <x:c r="I58" s="2"/>
      <x:c r="J58" s="2"/>
    </x:row>
    <x:row r="59" ht="25" customHeight="1">
      <x:c r="C59" s="2" t="str">
        <x:v>Collection detail revenue difference (ETH)</x:v>
      </x:c>
      <x:c r="D59" s="2"/>
      <x:c r="E59" s="28" t="n">
        <x:f>E8-SUM('Collections'!I6:I221)</x:f>
        <x:v>0</x:v>
      </x:c>
      <x:c r="F59" s="2"/>
      <x:c r="G59" s="2"/>
      <x:c r="H59" s="2"/>
      <x:c r="I59" s="2"/>
      <x:c r="J59" s="2"/>
    </x:row>
    <x:row r="60" ht="25" customHeight="1"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C67" s="2"/>
      <x:c r="D67" s="2"/>
      <x:c r="E67" s="2"/>
      <x:c r="F67" s="2"/>
      <x:c r="G67" s="2"/>
      <x:c r="H67" s="2"/>
      <x:c r="I67" s="2"/>
      <x:c r="J67" s="2"/>
    </x:row>
    <x:row r="68" ht="25" customHeight="1">
      <x:c r="C68" s="2"/>
      <x:c r="D68" s="2"/>
      <x:c r="E68" s="2"/>
      <x:c r="F68" s="2"/>
      <x:c r="G68" s="2"/>
      <x:c r="H68" s="2"/>
      <x:c r="I68" s="2"/>
      <x:c r="J68" s="2"/>
    </x:row>
  </x:sheetData>
  <x:conditionalFormatting sqref="E20:E23">
    <x:cfRule type="cellIs" dxfId="0" priority="1" operator="lessThan">
      <x:formula>0</x:formula>
    </x:cfRule>
  </x:conditionalFormatting>
  <x:conditionalFormatting sqref="E57:E59">
    <x:cfRule type="cellIs" dxfId="1" priority="2" operator="notBetween">
      <x:formula>-1e-8</x:formula>
      <x:formula>1e-8</x:formula>
    </x:cfRule>
  </x:conditionalFormatting>
  <x:dataValidations count="4">
    <x:dataValidation type="decimal" operator="greaterThan" sqref="J6">
      <x:formula1>0</x:formula1>
    </x:dataValidation>
    <x:dataValidation type="decimal" operator="between" sqref="J7:J8">
      <x:formula1>0</x:formula1>
      <x:formula2>1</x:formula2>
    </x:dataValidation>
    <x:dataValidation type="decimal" operator="greaterThan" sqref="J14:J16">
      <x:formula1>0</x:formula1>
    </x:dataValidation>
    <x:dataValidation type="whole" operator="greaterThan" sqref="J19:J2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B906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8" hidden="0" customWidth="1"/>
    <x:col min="4" max="4" width="3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7" hidden="0" customWidth="1"/>
    <x:col min="19" max="19" width="15" hidden="0" customWidth="1"/>
    <x:col min="20" max="20" width="15" hidden="0" customWidth="1"/>
  </x:cols>
  <x:sheetData>
    <x:row r="1" ht="25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2" customHeight="1">
      <x:c r="C2" s="3" t="str">
        <x:v>Settings for each season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5" customHeight="1">
      <x:c r="C3" s="4" t="str">
        <x:v>Proposed settings. All monetary totals are ETH. Collection supply and affiliate positions are editable per season.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5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5" customHeight="1">
      <x:c r="C5" s="30" t="str">
        <x:v>Season</x:v>
      </x:c>
      <x:c r="D5" s="30" t="str">
        <x:v>Season name</x:v>
      </x:c>
      <x:c r="E5" s="30" t="str">
        <x:v>Collections</x:v>
      </x:c>
      <x:c r="F5" s="30" t="str">
        <x:v>NFTs / collection</x:v>
      </x:c>
      <x:c r="G5" s="30" t="str">
        <x:v>Mint price ETH</x:v>
      </x:c>
      <x:c r="H5" s="30" t="str">
        <x:v>Prize share</x:v>
      </x:c>
      <x:c r="I5" s="30" t="str">
        <x:v>Affiliate budget</x:v>
      </x:c>
      <x:c r="J5" s="30" t="str">
        <x:v>Total NFTs</x:v>
      </x:c>
      <x:c r="K5" s="30" t="str">
        <x:v>Mint value ETH</x:v>
      </x:c>
      <x:c r="L5" s="30" t="str">
        <x:v>Prize ETH</x:v>
      </x:c>
      <x:c r="M5" s="30" t="str">
        <x:v>Affiliates ETH</x:v>
      </x:c>
      <x:c r="N5" s="30" t="str">
        <x:v>Operator gross ETH</x:v>
      </x:c>
      <x:c r="O5" s="30" t="str">
        <x:v>Affiliate positions</x:v>
      </x:c>
      <x:c r="P5" s="30" t="str">
        <x:v>Deadline days</x:v>
      </x:c>
      <x:c r="Q5" s="30" t="str">
        <x:v>Enrollment hours</x:v>
      </x:c>
      <x:c r="R5" s="30" t="str">
        <x:v>Win probability</x:v>
      </x:c>
      <x:c r="S5" s="30" t="str">
        <x:v>Prize / collection ETH</x:v>
      </x:c>
      <x:c r="T5" s="30" t="str">
        <x:v>Gas + credit ETH</x:v>
      </x:c>
    </x:row>
    <x:row r="6" ht="25" customHeight="1">
      <x:c r="C6" s="31" t="n">
        <x:v>1</x:v>
      </x:c>
      <x:c r="D6" s="31" t="str">
        <x:v>Crimson &amp; Blood Orange</x:v>
      </x:c>
      <x:c r="E6" s="474" t="n">
        <x:v>10</x:v>
      </x:c>
      <x:c r="F6" s="15" t="n">
        <x:v>100</x:v>
      </x:c>
      <x:c r="G6" s="34" t="n">
        <x:f>'Summary'!$J$6</x:f>
        <x:v>0.005</x:v>
      </x:c>
      <x:c r="H6" s="35" t="n">
        <x:f>'Summary'!$J$7</x:f>
        <x:v>0.7</x:v>
      </x:c>
      <x:c r="I6" s="35" t="n">
        <x:f>'Summary'!$J$8</x:f>
        <x:v>0.1</x:v>
      </x:c>
      <x:c r="J6" s="476" t="n">
        <x:f>E6*F6</x:f>
        <x:v>1000</x:v>
      </x:c>
      <x:c r="K6" s="36" t="n">
        <x:f>J6*G6</x:f>
        <x:v>5</x:v>
      </x:c>
      <x:c r="L6" s="36" t="n">
        <x:f>K6*H6</x:f>
        <x:v>3.5</x:v>
      </x:c>
      <x:c r="M6" s="36" t="n">
        <x:f>K6*I6</x:f>
        <x:v>0.5</x:v>
      </x:c>
      <x:c r="N6" s="36" t="n">
        <x:f>K6-L6-M6</x:f>
        <x:v>1</x:v>
      </x:c>
      <x:c r="O6" s="15" t="n">
        <x:v>5</x:v>
      </x:c>
      <x:c r="P6" s="477" t="n">
        <x:f>'Summary'!$J$19</x:f>
        <x:v>14</x:v>
      </x:c>
      <x:c r="Q6" s="477" t="n">
        <x:f>'Summary'!$J$20</x:f>
        <x:v>48</x:v>
      </x:c>
      <x:c r="R6" s="37" t="n">
        <x:f>1/F6</x:f>
        <x:v>0.01</x:v>
      </x:c>
      <x:c r="S6" s="36" t="n">
        <x:f>F6*G6*H6</x:f>
        <x:v>0.35</x:v>
      </x:c>
      <x:c r="T6" s="34" t="n">
        <x:f>E6*SUM('Summary'!$J$10:$J$11)</x:f>
        <x:v>0.44999999999999996</x:v>
      </x:c>
    </x:row>
    <x:row r="7" ht="25" customHeight="1">
      <x:c r="C7" s="2" t="n">
        <x:v>2</x:v>
      </x:c>
      <x:c r="D7" s="2" t="str">
        <x:v>Burnt Sienna &amp; Terracotta</x:v>
      </x:c>
      <x:c r="E7" s="475" t="n">
        <x:v>10</x:v>
      </x:c>
      <x:c r="F7" s="15" t="n">
        <x:v>100</x:v>
      </x:c>
      <x:c r="G7" s="59" t="n">
        <x:f>'Summary'!$J$6</x:f>
        <x:v>0.005</x:v>
      </x:c>
      <x:c r="H7" s="60" t="n">
        <x:f>'Summary'!$J$7</x:f>
        <x:v>0.7</x:v>
      </x:c>
      <x:c r="I7" s="60" t="n">
        <x:f>'Summary'!$J$8</x:f>
        <x:v>0.1</x:v>
      </x:c>
      <x:c r="J7" s="17" t="n">
        <x:f>E7*F7</x:f>
        <x:v>1000</x:v>
      </x:c>
      <x:c r="K7" s="13" t="n">
        <x:f>J7*G7</x:f>
        <x:v>5</x:v>
      </x:c>
      <x:c r="L7" s="13" t="n">
        <x:f>K7*H7</x:f>
        <x:v>3.5</x:v>
      </x:c>
      <x:c r="M7" s="13" t="n">
        <x:f>K7*I7</x:f>
        <x:v>0.5</x:v>
      </x:c>
      <x:c r="N7" s="13" t="n">
        <x:f>K7-L7-M7</x:f>
        <x:v>1</x:v>
      </x:c>
      <x:c r="O7" s="15" t="n">
        <x:v>5</x:v>
      </x:c>
      <x:c r="P7" s="478" t="n">
        <x:f>'Summary'!$J$19</x:f>
        <x:v>14</x:v>
      </x:c>
      <x:c r="Q7" s="478" t="n">
        <x:f>'Summary'!$J$20</x:f>
        <x:v>48</x:v>
      </x:c>
      <x:c r="R7" s="61" t="n">
        <x:f>1/F7</x:f>
        <x:v>0.01</x:v>
      </x:c>
      <x:c r="S7" s="13" t="n">
        <x:f>F7*G7*H7</x:f>
        <x:v>0.35</x:v>
      </x:c>
      <x:c r="T7" s="59" t="n">
        <x:f>E7*SUM('Summary'!$J$10:$J$11)</x:f>
        <x:v>0.44999999999999996</x:v>
      </x:c>
    </x:row>
    <x:row r="8" ht="25" customHeight="1">
      <x:c r="C8" s="31" t="n">
        <x:v>3</x:v>
      </x:c>
      <x:c r="D8" s="31" t="str">
        <x:v>Desert Sand &amp; Warm Amber</x:v>
      </x:c>
      <x:c r="E8" s="474" t="n">
        <x:v>10</x:v>
      </x:c>
      <x:c r="F8" s="15" t="n">
        <x:v>150</x:v>
      </x:c>
      <x:c r="G8" s="34" t="n">
        <x:f>'Summary'!$J$6</x:f>
        <x:v>0.005</x:v>
      </x:c>
      <x:c r="H8" s="35" t="n">
        <x:f>'Summary'!$J$7</x:f>
        <x:v>0.7</x:v>
      </x:c>
      <x:c r="I8" s="35" t="n">
        <x:f>'Summary'!$J$8</x:f>
        <x:v>0.1</x:v>
      </x:c>
      <x:c r="J8" s="476" t="n">
        <x:f>E8*F8</x:f>
        <x:v>1500</x:v>
      </x:c>
      <x:c r="K8" s="36" t="n">
        <x:f>J8*G8</x:f>
        <x:v>7.5</x:v>
      </x:c>
      <x:c r="L8" s="36" t="n">
        <x:f>K8*H8</x:f>
        <x:v>5.25</x:v>
      </x:c>
      <x:c r="M8" s="36" t="n">
        <x:f>K8*I8</x:f>
        <x:v>0.75</x:v>
      </x:c>
      <x:c r="N8" s="36" t="n">
        <x:f>K8-L8-M8</x:f>
        <x:v>1.5</x:v>
      </x:c>
      <x:c r="O8" s="15" t="n">
        <x:v>5</x:v>
      </x:c>
      <x:c r="P8" s="477" t="n">
        <x:f>'Summary'!$J$19</x:f>
        <x:v>14</x:v>
      </x:c>
      <x:c r="Q8" s="477" t="n">
        <x:f>'Summary'!$J$20</x:f>
        <x:v>48</x:v>
      </x:c>
      <x:c r="R8" s="37" t="n">
        <x:f>1/F8</x:f>
        <x:v>0.006666666666666667</x:v>
      </x:c>
      <x:c r="S8" s="36" t="n">
        <x:f>F8*G8*H8</x:f>
        <x:v>0.5249999999999999</x:v>
      </x:c>
      <x:c r="T8" s="34" t="n">
        <x:f>E8*SUM('Summary'!$J$10:$J$11)</x:f>
        <x:v>0.44999999999999996</x:v>
      </x:c>
    </x:row>
    <x:row r="9" ht="25" customHeight="1">
      <x:c r="C9" s="2" t="n">
        <x:v>4</x:v>
      </x:c>
      <x:c r="D9" s="2" t="str">
        <x:v>Solar Yellow &amp; Pastel Gold</x:v>
      </x:c>
      <x:c r="E9" s="475" t="n">
        <x:v>10</x:v>
      </x:c>
      <x:c r="F9" s="15" t="n">
        <x:v>150</x:v>
      </x:c>
      <x:c r="G9" s="59" t="n">
        <x:f>'Summary'!$J$6</x:f>
        <x:v>0.005</x:v>
      </x:c>
      <x:c r="H9" s="60" t="n">
        <x:f>'Summary'!$J$7</x:f>
        <x:v>0.7</x:v>
      </x:c>
      <x:c r="I9" s="60" t="n">
        <x:f>'Summary'!$J$8</x:f>
        <x:v>0.1</x:v>
      </x:c>
      <x:c r="J9" s="17" t="n">
        <x:f>E9*F9</x:f>
        <x:v>1500</x:v>
      </x:c>
      <x:c r="K9" s="13" t="n">
        <x:f>J9*G9</x:f>
        <x:v>7.5</x:v>
      </x:c>
      <x:c r="L9" s="13" t="n">
        <x:f>K9*H9</x:f>
        <x:v>5.25</x:v>
      </x:c>
      <x:c r="M9" s="13" t="n">
        <x:f>K9*I9</x:f>
        <x:v>0.75</x:v>
      </x:c>
      <x:c r="N9" s="13" t="n">
        <x:f>K9-L9-M9</x:f>
        <x:v>1.5</x:v>
      </x:c>
      <x:c r="O9" s="15" t="n">
        <x:v>5</x:v>
      </x:c>
      <x:c r="P9" s="478" t="n">
        <x:f>'Summary'!$J$19</x:f>
        <x:v>14</x:v>
      </x:c>
      <x:c r="Q9" s="478" t="n">
        <x:f>'Summary'!$J$20</x:f>
        <x:v>48</x:v>
      </x:c>
      <x:c r="R9" s="61" t="n">
        <x:f>1/F9</x:f>
        <x:v>0.006666666666666667</x:v>
      </x:c>
      <x:c r="S9" s="13" t="n">
        <x:f>F9*G9*H9</x:f>
        <x:v>0.5249999999999999</x:v>
      </x:c>
      <x:c r="T9" s="59" t="n">
        <x:f>E9*SUM('Summary'!$J$10:$J$11)</x:f>
        <x:v>0.44999999999999996</x:v>
      </x:c>
    </x:row>
    <x:row r="10" ht="25" customHeight="1">
      <x:c r="C10" s="31" t="n">
        <x:v>5</x:v>
      </x:c>
      <x:c r="D10" s="31" t="str">
        <x:v>Olive &amp; Dried Moss</x:v>
      </x:c>
      <x:c r="E10" s="474" t="n">
        <x:v>10</x:v>
      </x:c>
      <x:c r="F10" s="15" t="n">
        <x:v>150</x:v>
      </x:c>
      <x:c r="G10" s="34" t="n">
        <x:f>'Summary'!$J$6</x:f>
        <x:v>0.005</x:v>
      </x:c>
      <x:c r="H10" s="35" t="n">
        <x:f>'Summary'!$J$7</x:f>
        <x:v>0.7</x:v>
      </x:c>
      <x:c r="I10" s="35" t="n">
        <x:f>'Summary'!$J$8</x:f>
        <x:v>0.1</x:v>
      </x:c>
      <x:c r="J10" s="476" t="n">
        <x:f>E10*F10</x:f>
        <x:v>1500</x:v>
      </x:c>
      <x:c r="K10" s="36" t="n">
        <x:f>J10*G10</x:f>
        <x:v>7.5</x:v>
      </x:c>
      <x:c r="L10" s="36" t="n">
        <x:f>K10*H10</x:f>
        <x:v>5.25</x:v>
      </x:c>
      <x:c r="M10" s="36" t="n">
        <x:f>K10*I10</x:f>
        <x:v>0.75</x:v>
      </x:c>
      <x:c r="N10" s="36" t="n">
        <x:f>K10-L10-M10</x:f>
        <x:v>1.5</x:v>
      </x:c>
      <x:c r="O10" s="15" t="n">
        <x:v>5</x:v>
      </x:c>
      <x:c r="P10" s="477" t="n">
        <x:f>'Summary'!$J$19</x:f>
        <x:v>14</x:v>
      </x:c>
      <x:c r="Q10" s="477" t="n">
        <x:f>'Summary'!$J$20</x:f>
        <x:v>48</x:v>
      </x:c>
      <x:c r="R10" s="37" t="n">
        <x:f>1/F10</x:f>
        <x:v>0.006666666666666667</x:v>
      </x:c>
      <x:c r="S10" s="36" t="n">
        <x:f>F10*G10*H10</x:f>
        <x:v>0.5249999999999999</x:v>
      </x:c>
      <x:c r="T10" s="34" t="n">
        <x:f>E10*SUM('Summary'!$J$10:$J$11)</x:f>
        <x:v>0.44999999999999996</x:v>
      </x:c>
    </x:row>
    <x:row r="11" ht="25" customHeight="1">
      <x:c r="C11" s="2" t="n">
        <x:v>6</x:v>
      </x:c>
      <x:c r="D11" s="2" t="str">
        <x:v>Vivid Lime &amp; Chartreuse</x:v>
      </x:c>
      <x:c r="E11" s="475" t="n">
        <x:v>10</x:v>
      </x:c>
      <x:c r="F11" s="15" t="n">
        <x:v>150</x:v>
      </x:c>
      <x:c r="G11" s="59" t="n">
        <x:f>'Summary'!$J$6</x:f>
        <x:v>0.005</x:v>
      </x:c>
      <x:c r="H11" s="60" t="n">
        <x:f>'Summary'!$J$7</x:f>
        <x:v>0.7</x:v>
      </x:c>
      <x:c r="I11" s="60" t="n">
        <x:f>'Summary'!$J$8</x:f>
        <x:v>0.1</x:v>
      </x:c>
      <x:c r="J11" s="17" t="n">
        <x:f>E11*F11</x:f>
        <x:v>1500</x:v>
      </x:c>
      <x:c r="K11" s="13" t="n">
        <x:f>J11*G11</x:f>
        <x:v>7.5</x:v>
      </x:c>
      <x:c r="L11" s="13" t="n">
        <x:f>K11*H11</x:f>
        <x:v>5.25</x:v>
      </x:c>
      <x:c r="M11" s="13" t="n">
        <x:f>K11*I11</x:f>
        <x:v>0.75</x:v>
      </x:c>
      <x:c r="N11" s="13" t="n">
        <x:f>K11-L11-M11</x:f>
        <x:v>1.5</x:v>
      </x:c>
      <x:c r="O11" s="15" t="n">
        <x:v>5</x:v>
      </x:c>
      <x:c r="P11" s="478" t="n">
        <x:f>'Summary'!$J$19</x:f>
        <x:v>14</x:v>
      </x:c>
      <x:c r="Q11" s="478" t="n">
        <x:f>'Summary'!$J$20</x:f>
        <x:v>48</x:v>
      </x:c>
      <x:c r="R11" s="61" t="n">
        <x:f>1/F11</x:f>
        <x:v>0.006666666666666667</x:v>
      </x:c>
      <x:c r="S11" s="13" t="n">
        <x:f>F11*G11*H11</x:f>
        <x:v>0.5249999999999999</x:v>
      </x:c>
      <x:c r="T11" s="59" t="n">
        <x:f>E11*SUM('Summary'!$J$10:$J$11)</x:f>
        <x:v>0.44999999999999996</x:v>
      </x:c>
    </x:row>
    <x:row r="12" ht="25" customHeight="1">
      <x:c r="C12" s="31" t="n">
        <x:v>7</x:v>
      </x:c>
      <x:c r="D12" s="31" t="str">
        <x:v>Spring Foliage &amp; Meadow</x:v>
      </x:c>
      <x:c r="E12" s="474" t="n">
        <x:v>10</x:v>
      </x:c>
      <x:c r="F12" s="15" t="n">
        <x:v>200</x:v>
      </x:c>
      <x:c r="G12" s="34" t="n">
        <x:f>'Summary'!$J$6</x:f>
        <x:v>0.005</x:v>
      </x:c>
      <x:c r="H12" s="35" t="n">
        <x:f>'Summary'!$J$7</x:f>
        <x:v>0.7</x:v>
      </x:c>
      <x:c r="I12" s="35" t="n">
        <x:f>'Summary'!$J$8</x:f>
        <x:v>0.1</x:v>
      </x:c>
      <x:c r="J12" s="476" t="n">
        <x:f>E12*F12</x:f>
        <x:v>2000</x:v>
      </x:c>
      <x:c r="K12" s="36" t="n">
        <x:f>J12*G12</x:f>
        <x:v>10</x:v>
      </x:c>
      <x:c r="L12" s="36" t="n">
        <x:f>K12*H12</x:f>
        <x:v>7</x:v>
      </x:c>
      <x:c r="M12" s="36" t="n">
        <x:f>K12*I12</x:f>
        <x:v>1</x:v>
      </x:c>
      <x:c r="N12" s="36" t="n">
        <x:f>K12-L12-M12</x:f>
        <x:v>2</x:v>
      </x:c>
      <x:c r="O12" s="15" t="n">
        <x:v>10</x:v>
      </x:c>
      <x:c r="P12" s="477" t="n">
        <x:f>'Summary'!$J$19</x:f>
        <x:v>14</x:v>
      </x:c>
      <x:c r="Q12" s="477" t="n">
        <x:f>'Summary'!$J$20</x:f>
        <x:v>48</x:v>
      </x:c>
      <x:c r="R12" s="37" t="n">
        <x:f>1/F12</x:f>
        <x:v>0.005</x:v>
      </x:c>
      <x:c r="S12" s="36" t="n">
        <x:f>F12*G12*H12</x:f>
        <x:v>0.7</x:v>
      </x:c>
      <x:c r="T12" s="34" t="n">
        <x:f>E12*SUM('Summary'!$J$10:$J$11)</x:f>
        <x:v>0.44999999999999996</x:v>
      </x:c>
    </x:row>
    <x:row r="13" ht="25" customHeight="1">
      <x:c r="C13" s="2" t="n">
        <x:v>8</x:v>
      </x:c>
      <x:c r="D13" s="2" t="str">
        <x:v>Deep Forest &amp; Pine</x:v>
      </x:c>
      <x:c r="E13" s="475" t="n">
        <x:v>10</x:v>
      </x:c>
      <x:c r="F13" s="15" t="n">
        <x:v>200</x:v>
      </x:c>
      <x:c r="G13" s="59" t="n">
        <x:f>'Summary'!$J$6</x:f>
        <x:v>0.005</x:v>
      </x:c>
      <x:c r="H13" s="60" t="n">
        <x:f>'Summary'!$J$7</x:f>
        <x:v>0.7</x:v>
      </x:c>
      <x:c r="I13" s="60" t="n">
        <x:f>'Summary'!$J$8</x:f>
        <x:v>0.1</x:v>
      </x:c>
      <x:c r="J13" s="17" t="n">
        <x:f>E13*F13</x:f>
        <x:v>2000</x:v>
      </x:c>
      <x:c r="K13" s="13" t="n">
        <x:f>J13*G13</x:f>
        <x:v>10</x:v>
      </x:c>
      <x:c r="L13" s="13" t="n">
        <x:f>K13*H13</x:f>
        <x:v>7</x:v>
      </x:c>
      <x:c r="M13" s="13" t="n">
        <x:f>K13*I13</x:f>
        <x:v>1</x:v>
      </x:c>
      <x:c r="N13" s="13" t="n">
        <x:f>K13-L13-M13</x:f>
        <x:v>2</x:v>
      </x:c>
      <x:c r="O13" s="15" t="n">
        <x:v>10</x:v>
      </x:c>
      <x:c r="P13" s="478" t="n">
        <x:f>'Summary'!$J$19</x:f>
        <x:v>14</x:v>
      </x:c>
      <x:c r="Q13" s="478" t="n">
        <x:f>'Summary'!$J$20</x:f>
        <x:v>48</x:v>
      </x:c>
      <x:c r="R13" s="61" t="n">
        <x:f>1/F13</x:f>
        <x:v>0.005</x:v>
      </x:c>
      <x:c r="S13" s="13" t="n">
        <x:f>F13*G13*H13</x:f>
        <x:v>0.7</x:v>
      </x:c>
      <x:c r="T13" s="59" t="n">
        <x:f>E13*SUM('Summary'!$J$10:$J$11)</x:f>
        <x:v>0.44999999999999996</x:v>
      </x:c>
    </x:row>
    <x:row r="14" ht="25" customHeight="1">
      <x:c r="C14" s="31" t="n">
        <x:v>9</x:v>
      </x:c>
      <x:c r="D14" s="31" t="str">
        <x:v>Spearmint &amp; Crisp Jade</x:v>
      </x:c>
      <x:c r="E14" s="474" t="n">
        <x:v>10</x:v>
      </x:c>
      <x:c r="F14" s="15" t="n">
        <x:v>200</x:v>
      </x:c>
      <x:c r="G14" s="34" t="n">
        <x:f>'Summary'!$J$6</x:f>
        <x:v>0.005</x:v>
      </x:c>
      <x:c r="H14" s="35" t="n">
        <x:f>'Summary'!$J$7</x:f>
        <x:v>0.7</x:v>
      </x:c>
      <x:c r="I14" s="35" t="n">
        <x:f>'Summary'!$J$8</x:f>
        <x:v>0.1</x:v>
      </x:c>
      <x:c r="J14" s="476" t="n">
        <x:f>E14*F14</x:f>
        <x:v>2000</x:v>
      </x:c>
      <x:c r="K14" s="36" t="n">
        <x:f>J14*G14</x:f>
        <x:v>10</x:v>
      </x:c>
      <x:c r="L14" s="36" t="n">
        <x:f>K14*H14</x:f>
        <x:v>7</x:v>
      </x:c>
      <x:c r="M14" s="36" t="n">
        <x:f>K14*I14</x:f>
        <x:v>1</x:v>
      </x:c>
      <x:c r="N14" s="36" t="n">
        <x:f>K14-L14-M14</x:f>
        <x:v>2</x:v>
      </x:c>
      <x:c r="O14" s="15" t="n">
        <x:v>10</x:v>
      </x:c>
      <x:c r="P14" s="477" t="n">
        <x:f>'Summary'!$J$19</x:f>
        <x:v>14</x:v>
      </x:c>
      <x:c r="Q14" s="477" t="n">
        <x:f>'Summary'!$J$20</x:f>
        <x:v>48</x:v>
      </x:c>
      <x:c r="R14" s="37" t="n">
        <x:f>1/F14</x:f>
        <x:v>0.005</x:v>
      </x:c>
      <x:c r="S14" s="36" t="n">
        <x:f>F14*G14*H14</x:f>
        <x:v>0.7</x:v>
      </x:c>
      <x:c r="T14" s="34" t="n">
        <x:f>E14*SUM('Summary'!$J$10:$J$11)</x:f>
        <x:v>0.44999999999999996</x:v>
      </x:c>
    </x:row>
    <x:row r="15" ht="25" customHeight="1">
      <x:c r="C15" s="2" t="n">
        <x:v>10</x:v>
      </x:c>
      <x:c r="D15" s="2" t="str">
        <x:v>Abyssal Waters &amp; Dark Teal</x:v>
      </x:c>
      <x:c r="E15" s="475" t="n">
        <x:v>10</x:v>
      </x:c>
      <x:c r="F15" s="15" t="n">
        <x:v>200</x:v>
      </x:c>
      <x:c r="G15" s="59" t="n">
        <x:f>'Summary'!$J$6</x:f>
        <x:v>0.005</x:v>
      </x:c>
      <x:c r="H15" s="60" t="n">
        <x:f>'Summary'!$J$7</x:f>
        <x:v>0.7</x:v>
      </x:c>
      <x:c r="I15" s="60" t="n">
        <x:f>'Summary'!$J$8</x:f>
        <x:v>0.1</x:v>
      </x:c>
      <x:c r="J15" s="17" t="n">
        <x:f>E15*F15</x:f>
        <x:v>2000</x:v>
      </x:c>
      <x:c r="K15" s="13" t="n">
        <x:f>J15*G15</x:f>
        <x:v>10</x:v>
      </x:c>
      <x:c r="L15" s="13" t="n">
        <x:f>K15*H15</x:f>
        <x:v>7</x:v>
      </x:c>
      <x:c r="M15" s="13" t="n">
        <x:f>K15*I15</x:f>
        <x:v>1</x:v>
      </x:c>
      <x:c r="N15" s="13" t="n">
        <x:f>K15-L15-M15</x:f>
        <x:v>2</x:v>
      </x:c>
      <x:c r="O15" s="15" t="n">
        <x:v>10</x:v>
      </x:c>
      <x:c r="P15" s="478" t="n">
        <x:f>'Summary'!$J$19</x:f>
        <x:v>14</x:v>
      </x:c>
      <x:c r="Q15" s="478" t="n">
        <x:f>'Summary'!$J$20</x:f>
        <x:v>48</x:v>
      </x:c>
      <x:c r="R15" s="61" t="n">
        <x:f>1/F15</x:f>
        <x:v>0.005</x:v>
      </x:c>
      <x:c r="S15" s="13" t="n">
        <x:f>F15*G15*H15</x:f>
        <x:v>0.7</x:v>
      </x:c>
      <x:c r="T15" s="59" t="n">
        <x:f>E15*SUM('Summary'!$J$10:$J$11)</x:f>
        <x:v>0.44999999999999996</x:v>
      </x:c>
    </x:row>
    <x:row r="16" ht="25" customHeight="1">
      <x:c r="C16" s="31" t="n">
        <x:v>11</x:v>
      </x:c>
      <x:c r="D16" s="31" t="str">
        <x:v>Electric Cyan &amp; Turquoise</x:v>
      </x:c>
      <x:c r="E16" s="474" t="n">
        <x:v>10</x:v>
      </x:c>
      <x:c r="F16" s="15" t="n">
        <x:v>200</x:v>
      </x:c>
      <x:c r="G16" s="34" t="n">
        <x:f>'Summary'!$J$6</x:f>
        <x:v>0.005</x:v>
      </x:c>
      <x:c r="H16" s="35" t="n">
        <x:f>'Summary'!$J$7</x:f>
        <x:v>0.7</x:v>
      </x:c>
      <x:c r="I16" s="35" t="n">
        <x:f>'Summary'!$J$8</x:f>
        <x:v>0.1</x:v>
      </x:c>
      <x:c r="J16" s="476" t="n">
        <x:f>E16*F16</x:f>
        <x:v>2000</x:v>
      </x:c>
      <x:c r="K16" s="36" t="n">
        <x:f>J16*G16</x:f>
        <x:v>10</x:v>
      </x:c>
      <x:c r="L16" s="36" t="n">
        <x:f>K16*H16</x:f>
        <x:v>7</x:v>
      </x:c>
      <x:c r="M16" s="36" t="n">
        <x:f>K16*I16</x:f>
        <x:v>1</x:v>
      </x:c>
      <x:c r="N16" s="36" t="n">
        <x:f>K16-L16-M16</x:f>
        <x:v>2</x:v>
      </x:c>
      <x:c r="O16" s="15" t="n">
        <x:v>10</x:v>
      </x:c>
      <x:c r="P16" s="477" t="n">
        <x:f>'Summary'!$J$19</x:f>
        <x:v>14</x:v>
      </x:c>
      <x:c r="Q16" s="477" t="n">
        <x:f>'Summary'!$J$20</x:f>
        <x:v>48</x:v>
      </x:c>
      <x:c r="R16" s="37" t="n">
        <x:f>1/F16</x:f>
        <x:v>0.005</x:v>
      </x:c>
      <x:c r="S16" s="36" t="n">
        <x:f>F16*G16*H16</x:f>
        <x:v>0.7</x:v>
      </x:c>
      <x:c r="T16" s="34" t="n">
        <x:f>E16*SUM('Summary'!$J$10:$J$11)</x:f>
        <x:v>0.44999999999999996</x:v>
      </x:c>
    </x:row>
    <x:row r="17" ht="25" customHeight="1">
      <x:c r="C17" s="2" t="n">
        <x:v>12</x:v>
      </x:c>
      <x:c r="D17" s="2" t="str">
        <x:v>Glacier &amp; Pure Aquamarine</x:v>
      </x:c>
      <x:c r="E17" s="475" t="n">
        <x:v>10</x:v>
      </x:c>
      <x:c r="F17" s="15" t="n">
        <x:v>200</x:v>
      </x:c>
      <x:c r="G17" s="59" t="n">
        <x:f>'Summary'!$J$6</x:f>
        <x:v>0.005</x:v>
      </x:c>
      <x:c r="H17" s="60" t="n">
        <x:f>'Summary'!$J$7</x:f>
        <x:v>0.7</x:v>
      </x:c>
      <x:c r="I17" s="60" t="n">
        <x:f>'Summary'!$J$8</x:f>
        <x:v>0.1</x:v>
      </x:c>
      <x:c r="J17" s="17" t="n">
        <x:f>E17*F17</x:f>
        <x:v>2000</x:v>
      </x:c>
      <x:c r="K17" s="13" t="n">
        <x:f>J17*G17</x:f>
        <x:v>10</x:v>
      </x:c>
      <x:c r="L17" s="13" t="n">
        <x:f>K17*H17</x:f>
        <x:v>7</x:v>
      </x:c>
      <x:c r="M17" s="13" t="n">
        <x:f>K17*I17</x:f>
        <x:v>1</x:v>
      </x:c>
      <x:c r="N17" s="13" t="n">
        <x:f>K17-L17-M17</x:f>
        <x:v>2</x:v>
      </x:c>
      <x:c r="O17" s="15" t="n">
        <x:v>10</x:v>
      </x:c>
      <x:c r="P17" s="478" t="n">
        <x:f>'Summary'!$J$19</x:f>
        <x:v>14</x:v>
      </x:c>
      <x:c r="Q17" s="478" t="n">
        <x:f>'Summary'!$J$20</x:f>
        <x:v>48</x:v>
      </x:c>
      <x:c r="R17" s="61" t="n">
        <x:f>1/F17</x:f>
        <x:v>0.005</x:v>
      </x:c>
      <x:c r="S17" s="13" t="n">
        <x:f>F17*G17*H17</x:f>
        <x:v>0.7</x:v>
      </x:c>
      <x:c r="T17" s="59" t="n">
        <x:f>E17*SUM('Summary'!$J$10:$J$11)</x:f>
        <x:v>0.44999999999999996</x:v>
      </x:c>
    </x:row>
    <x:row r="18" ht="25" customHeight="1">
      <x:c r="C18" s="31" t="n">
        <x:v>13</x:v>
      </x:c>
      <x:c r="D18" s="31" t="str">
        <x:v>Cerulean &amp; Sky Blue</x:v>
      </x:c>
      <x:c r="E18" s="474" t="n">
        <x:v>10</x:v>
      </x:c>
      <x:c r="F18" s="15" t="n">
        <x:v>300</x:v>
      </x:c>
      <x:c r="G18" s="34" t="n">
        <x:f>'Summary'!$J$6</x:f>
        <x:v>0.005</x:v>
      </x:c>
      <x:c r="H18" s="35" t="n">
        <x:f>'Summary'!$J$7</x:f>
        <x:v>0.7</x:v>
      </x:c>
      <x:c r="I18" s="35" t="n">
        <x:f>'Summary'!$J$8</x:f>
        <x:v>0.1</x:v>
      </x:c>
      <x:c r="J18" s="476" t="n">
        <x:f>E18*F18</x:f>
        <x:v>3000</x:v>
      </x:c>
      <x:c r="K18" s="36" t="n">
        <x:f>J18*G18</x:f>
        <x:v>15</x:v>
      </x:c>
      <x:c r="L18" s="36" t="n">
        <x:f>K18*H18</x:f>
        <x:v>10.5</x:v>
      </x:c>
      <x:c r="M18" s="36" t="n">
        <x:f>K18*I18</x:f>
        <x:v>1.5</x:v>
      </x:c>
      <x:c r="N18" s="36" t="n">
        <x:f>K18-L18-M18</x:f>
        <x:v>3</x:v>
      </x:c>
      <x:c r="O18" s="15" t="n">
        <x:v>10</x:v>
      </x:c>
      <x:c r="P18" s="477" t="n">
        <x:f>'Summary'!$J$19</x:f>
        <x:v>14</x:v>
      </x:c>
      <x:c r="Q18" s="477" t="n">
        <x:f>'Summary'!$J$20</x:f>
        <x:v>48</x:v>
      </x:c>
      <x:c r="R18" s="37" t="n">
        <x:f>1/F18</x:f>
        <x:v>0.0033333333333333335</x:v>
      </x:c>
      <x:c r="S18" s="36" t="n">
        <x:f>F18*G18*H18</x:f>
        <x:v>1.0499999999999998</x:v>
      </x:c>
      <x:c r="T18" s="34" t="n">
        <x:f>E18*SUM('Summary'!$J$10:$J$11)</x:f>
        <x:v>0.44999999999999996</x:v>
      </x:c>
    </x:row>
    <x:row r="19" ht="25" customHeight="1">
      <x:c r="C19" s="2" t="n">
        <x:v>14</x:v>
      </x:c>
      <x:c r="D19" s="2" t="str">
        <x:v>Cobalt &amp; Deep Azure</x:v>
      </x:c>
      <x:c r="E19" s="475" t="n">
        <x:v>10</x:v>
      </x:c>
      <x:c r="F19" s="15" t="n">
        <x:v>300</x:v>
      </x:c>
      <x:c r="G19" s="59" t="n">
        <x:f>'Summary'!$J$6</x:f>
        <x:v>0.005</x:v>
      </x:c>
      <x:c r="H19" s="60" t="n">
        <x:f>'Summary'!$J$7</x:f>
        <x:v>0.7</x:v>
      </x:c>
      <x:c r="I19" s="60" t="n">
        <x:f>'Summary'!$J$8</x:f>
        <x:v>0.1</x:v>
      </x:c>
      <x:c r="J19" s="17" t="n">
        <x:f>E19*F19</x:f>
        <x:v>3000</x:v>
      </x:c>
      <x:c r="K19" s="13" t="n">
        <x:f>J19*G19</x:f>
        <x:v>15</x:v>
      </x:c>
      <x:c r="L19" s="13" t="n">
        <x:f>K19*H19</x:f>
        <x:v>10.5</x:v>
      </x:c>
      <x:c r="M19" s="13" t="n">
        <x:f>K19*I19</x:f>
        <x:v>1.5</x:v>
      </x:c>
      <x:c r="N19" s="13" t="n">
        <x:f>K19-L19-M19</x:f>
        <x:v>3</x:v>
      </x:c>
      <x:c r="O19" s="15" t="n">
        <x:v>10</x:v>
      </x:c>
      <x:c r="P19" s="478" t="n">
        <x:f>'Summary'!$J$19</x:f>
        <x:v>14</x:v>
      </x:c>
      <x:c r="Q19" s="478" t="n">
        <x:f>'Summary'!$J$20</x:f>
        <x:v>48</x:v>
      </x:c>
      <x:c r="R19" s="61" t="n">
        <x:f>1/F19</x:f>
        <x:v>0.0033333333333333335</x:v>
      </x:c>
      <x:c r="S19" s="13" t="n">
        <x:f>F19*G19*H19</x:f>
        <x:v>1.0499999999999998</x:v>
      </x:c>
      <x:c r="T19" s="59" t="n">
        <x:f>E19*SUM('Summary'!$J$10:$J$11)</x:f>
        <x:v>0.44999999999999996</x:v>
      </x:c>
    </x:row>
    <x:row r="20" ht="25" customHeight="1">
      <x:c r="C20" s="31" t="n">
        <x:v>15</x:v>
      </x:c>
      <x:c r="D20" s="31" t="str">
        <x:v>Midnight Navy &amp; Steel</x:v>
      </x:c>
      <x:c r="E20" s="474" t="n">
        <x:v>10</x:v>
      </x:c>
      <x:c r="F20" s="15" t="n">
        <x:v>300</x:v>
      </x:c>
      <x:c r="G20" s="34" t="n">
        <x:f>'Summary'!$J$6</x:f>
        <x:v>0.005</x:v>
      </x:c>
      <x:c r="H20" s="35" t="n">
        <x:f>'Summary'!$J$7</x:f>
        <x:v>0.7</x:v>
      </x:c>
      <x:c r="I20" s="35" t="n">
        <x:f>'Summary'!$J$8</x:f>
        <x:v>0.1</x:v>
      </x:c>
      <x:c r="J20" s="476" t="n">
        <x:f>E20*F20</x:f>
        <x:v>3000</x:v>
      </x:c>
      <x:c r="K20" s="36" t="n">
        <x:f>J20*G20</x:f>
        <x:v>15</x:v>
      </x:c>
      <x:c r="L20" s="36" t="n">
        <x:f>K20*H20</x:f>
        <x:v>10.5</x:v>
      </x:c>
      <x:c r="M20" s="36" t="n">
        <x:f>K20*I20</x:f>
        <x:v>1.5</x:v>
      </x:c>
      <x:c r="N20" s="36" t="n">
        <x:f>K20-L20-M20</x:f>
        <x:v>3</x:v>
      </x:c>
      <x:c r="O20" s="15" t="n">
        <x:v>10</x:v>
      </x:c>
      <x:c r="P20" s="477" t="n">
        <x:f>'Summary'!$J$19</x:f>
        <x:v>14</x:v>
      </x:c>
      <x:c r="Q20" s="477" t="n">
        <x:f>'Summary'!$J$20</x:f>
        <x:v>48</x:v>
      </x:c>
      <x:c r="R20" s="37" t="n">
        <x:f>1/F20</x:f>
        <x:v>0.0033333333333333335</x:v>
      </x:c>
      <x:c r="S20" s="36" t="n">
        <x:f>F20*G20*H20</x:f>
        <x:v>1.0499999999999998</x:v>
      </x:c>
      <x:c r="T20" s="34" t="n">
        <x:f>E20*SUM('Summary'!$J$10:$J$11)</x:f>
        <x:v>0.44999999999999996</x:v>
      </x:c>
    </x:row>
    <x:row r="21" ht="25" customHeight="1">
      <x:c r="C21" s="2" t="n">
        <x:v>16</x:v>
      </x:c>
      <x:c r="D21" s="2" t="str">
        <x:v>Royal Violet &amp; Indigo</x:v>
      </x:c>
      <x:c r="E21" s="475" t="n">
        <x:v>10</x:v>
      </x:c>
      <x:c r="F21" s="15" t="n">
        <x:v>300</x:v>
      </x:c>
      <x:c r="G21" s="59" t="n">
        <x:f>'Summary'!$J$6</x:f>
        <x:v>0.005</x:v>
      </x:c>
      <x:c r="H21" s="60" t="n">
        <x:f>'Summary'!$J$7</x:f>
        <x:v>0.7</x:v>
      </x:c>
      <x:c r="I21" s="60" t="n">
        <x:f>'Summary'!$J$8</x:f>
        <x:v>0.1</x:v>
      </x:c>
      <x:c r="J21" s="17" t="n">
        <x:f>E21*F21</x:f>
        <x:v>3000</x:v>
      </x:c>
      <x:c r="K21" s="13" t="n">
        <x:f>J21*G21</x:f>
        <x:v>15</x:v>
      </x:c>
      <x:c r="L21" s="13" t="n">
        <x:f>K21*H21</x:f>
        <x:v>10.5</x:v>
      </x:c>
      <x:c r="M21" s="13" t="n">
        <x:f>K21*I21</x:f>
        <x:v>1.5</x:v>
      </x:c>
      <x:c r="N21" s="13" t="n">
        <x:f>K21-L21-M21</x:f>
        <x:v>3</x:v>
      </x:c>
      <x:c r="O21" s="15" t="n">
        <x:v>10</x:v>
      </x:c>
      <x:c r="P21" s="478" t="n">
        <x:f>'Summary'!$J$19</x:f>
        <x:v>14</x:v>
      </x:c>
      <x:c r="Q21" s="478" t="n">
        <x:f>'Summary'!$J$20</x:f>
        <x:v>48</x:v>
      </x:c>
      <x:c r="R21" s="61" t="n">
        <x:f>1/F21</x:f>
        <x:v>0.0033333333333333335</x:v>
      </x:c>
      <x:c r="S21" s="13" t="n">
        <x:f>F21*G21*H21</x:f>
        <x:v>1.0499999999999998</x:v>
      </x:c>
      <x:c r="T21" s="59" t="n">
        <x:f>E21*SUM('Summary'!$J$10:$J$11)</x:f>
        <x:v>0.44999999999999996</x:v>
      </x:c>
    </x:row>
    <x:row r="22" ht="25" customHeight="1">
      <x:c r="C22" s="31" t="n">
        <x:v>17</x:v>
      </x:c>
      <x:c r="D22" s="31" t="str">
        <x:v>Imperial Amethyst &amp; Plum</x:v>
      </x:c>
      <x:c r="E22" s="474" t="n">
        <x:v>10</x:v>
      </x:c>
      <x:c r="F22" s="15" t="n">
        <x:v>300</x:v>
      </x:c>
      <x:c r="G22" s="34" t="n">
        <x:f>'Summary'!$J$6</x:f>
        <x:v>0.005</x:v>
      </x:c>
      <x:c r="H22" s="35" t="n">
        <x:f>'Summary'!$J$7</x:f>
        <x:v>0.7</x:v>
      </x:c>
      <x:c r="I22" s="35" t="n">
        <x:f>'Summary'!$J$8</x:f>
        <x:v>0.1</x:v>
      </x:c>
      <x:c r="J22" s="476" t="n">
        <x:f>E22*F22</x:f>
        <x:v>3000</x:v>
      </x:c>
      <x:c r="K22" s="36" t="n">
        <x:f>J22*G22</x:f>
        <x:v>15</x:v>
      </x:c>
      <x:c r="L22" s="36" t="n">
        <x:f>K22*H22</x:f>
        <x:v>10.5</x:v>
      </x:c>
      <x:c r="M22" s="36" t="n">
        <x:f>K22*I22</x:f>
        <x:v>1.5</x:v>
      </x:c>
      <x:c r="N22" s="36" t="n">
        <x:f>K22-L22-M22</x:f>
        <x:v>3</x:v>
      </x:c>
      <x:c r="O22" s="15" t="n">
        <x:v>10</x:v>
      </x:c>
      <x:c r="P22" s="477" t="n">
        <x:f>'Summary'!$J$19</x:f>
        <x:v>14</x:v>
      </x:c>
      <x:c r="Q22" s="477" t="n">
        <x:f>'Summary'!$J$20</x:f>
        <x:v>48</x:v>
      </x:c>
      <x:c r="R22" s="37" t="n">
        <x:f>1/F22</x:f>
        <x:v>0.0033333333333333335</x:v>
      </x:c>
      <x:c r="S22" s="36" t="n">
        <x:f>F22*G22*H22</x:f>
        <x:v>1.0499999999999998</x:v>
      </x:c>
      <x:c r="T22" s="34" t="n">
        <x:f>E22*SUM('Summary'!$J$10:$J$11)</x:f>
        <x:v>0.44999999999999996</x:v>
      </x:c>
    </x:row>
    <x:row r="23" ht="25" customHeight="1">
      <x:c r="C23" s="2" t="n">
        <x:v>18</x:v>
      </x:c>
      <x:c r="D23" s="2" t="str">
        <x:v>Orchid &amp; Wild Berry</x:v>
      </x:c>
      <x:c r="E23" s="475" t="n">
        <x:v>10</x:v>
      </x:c>
      <x:c r="F23" s="15" t="n">
        <x:v>300</x:v>
      </x:c>
      <x:c r="G23" s="59" t="n">
        <x:f>'Summary'!$J$6</x:f>
        <x:v>0.005</x:v>
      </x:c>
      <x:c r="H23" s="60" t="n">
        <x:f>'Summary'!$J$7</x:f>
        <x:v>0.7</x:v>
      </x:c>
      <x:c r="I23" s="60" t="n">
        <x:f>'Summary'!$J$8</x:f>
        <x:v>0.1</x:v>
      </x:c>
      <x:c r="J23" s="17" t="n">
        <x:f>E23*F23</x:f>
        <x:v>3000</x:v>
      </x:c>
      <x:c r="K23" s="13" t="n">
        <x:f>J23*G23</x:f>
        <x:v>15</x:v>
      </x:c>
      <x:c r="L23" s="13" t="n">
        <x:f>K23*H23</x:f>
        <x:v>10.5</x:v>
      </x:c>
      <x:c r="M23" s="13" t="n">
        <x:f>K23*I23</x:f>
        <x:v>1.5</x:v>
      </x:c>
      <x:c r="N23" s="13" t="n">
        <x:f>K23-L23-M23</x:f>
        <x:v>3</x:v>
      </x:c>
      <x:c r="O23" s="15" t="n">
        <x:v>10</x:v>
      </x:c>
      <x:c r="P23" s="478" t="n">
        <x:f>'Summary'!$J$19</x:f>
        <x:v>14</x:v>
      </x:c>
      <x:c r="Q23" s="478" t="n">
        <x:f>'Summary'!$J$20</x:f>
        <x:v>48</x:v>
      </x:c>
      <x:c r="R23" s="61" t="n">
        <x:f>1/F23</x:f>
        <x:v>0.0033333333333333335</x:v>
      </x:c>
      <x:c r="S23" s="13" t="n">
        <x:f>F23*G23*H23</x:f>
        <x:v>1.0499999999999998</x:v>
      </x:c>
      <x:c r="T23" s="59" t="n">
        <x:f>E23*SUM('Summary'!$J$10:$J$11)</x:f>
        <x:v>0.44999999999999996</x:v>
      </x:c>
    </x:row>
    <x:row r="24" ht="25" customHeight="1">
      <x:c r="C24" s="31" t="n">
        <x:v>19</x:v>
      </x:c>
      <x:c r="D24" s="31" t="str">
        <x:v>Vivid Fuchsia &amp; Magenta</x:v>
      </x:c>
      <x:c r="E24" s="474" t="n">
        <x:v>10</x:v>
      </x:c>
      <x:c r="F24" s="15" t="n">
        <x:v>400</x:v>
      </x:c>
      <x:c r="G24" s="34" t="n">
        <x:f>'Summary'!$J$6</x:f>
        <x:v>0.005</x:v>
      </x:c>
      <x:c r="H24" s="35" t="n">
        <x:f>'Summary'!$J$7</x:f>
        <x:v>0.7</x:v>
      </x:c>
      <x:c r="I24" s="35" t="n">
        <x:f>'Summary'!$J$8</x:f>
        <x:v>0.1</x:v>
      </x:c>
      <x:c r="J24" s="476" t="n">
        <x:f>E24*F24</x:f>
        <x:v>4000</x:v>
      </x:c>
      <x:c r="K24" s="36" t="n">
        <x:f>J24*G24</x:f>
        <x:v>20</x:v>
      </x:c>
      <x:c r="L24" s="36" t="n">
        <x:f>K24*H24</x:f>
        <x:v>14</x:v>
      </x:c>
      <x:c r="M24" s="36" t="n">
        <x:f>K24*I24</x:f>
        <x:v>2</x:v>
      </x:c>
      <x:c r="N24" s="36" t="n">
        <x:f>K24-L24-M24</x:f>
        <x:v>4</x:v>
      </x:c>
      <x:c r="O24" s="15" t="n">
        <x:v>15</x:v>
      </x:c>
      <x:c r="P24" s="477" t="n">
        <x:f>'Summary'!$J$19</x:f>
        <x:v>14</x:v>
      </x:c>
      <x:c r="Q24" s="477" t="n">
        <x:f>'Summary'!$J$20</x:f>
        <x:v>48</x:v>
      </x:c>
      <x:c r="R24" s="37" t="n">
        <x:f>1/F24</x:f>
        <x:v>0.0025</x:v>
      </x:c>
      <x:c r="S24" s="36" t="n">
        <x:f>F24*G24*H24</x:f>
        <x:v>1.4</x:v>
      </x:c>
      <x:c r="T24" s="34" t="n">
        <x:f>E24*SUM('Summary'!$J$10:$J$11)</x:f>
        <x:v>0.44999999999999996</x:v>
      </x:c>
    </x:row>
    <x:row r="25" ht="25" customHeight="1">
      <x:c r="C25" s="2" t="n">
        <x:v>20</x:v>
      </x:c>
      <x:c r="D25" s="2" t="str">
        <x:v>Bubblegum &amp; Pastel Coral</x:v>
      </x:c>
      <x:c r="E25" s="475" t="n">
        <x:v>10</x:v>
      </x:c>
      <x:c r="F25" s="15" t="n">
        <x:v>400</x:v>
      </x:c>
      <x:c r="G25" s="59" t="n">
        <x:f>'Summary'!$J$6</x:f>
        <x:v>0.005</x:v>
      </x:c>
      <x:c r="H25" s="60" t="n">
        <x:f>'Summary'!$J$7</x:f>
        <x:v>0.7</x:v>
      </x:c>
      <x:c r="I25" s="60" t="n">
        <x:f>'Summary'!$J$8</x:f>
        <x:v>0.1</x:v>
      </x:c>
      <x:c r="J25" s="17" t="n">
        <x:f>E25*F25</x:f>
        <x:v>4000</x:v>
      </x:c>
      <x:c r="K25" s="13" t="n">
        <x:f>J25*G25</x:f>
        <x:v>20</x:v>
      </x:c>
      <x:c r="L25" s="13" t="n">
        <x:f>K25*H25</x:f>
        <x:v>14</x:v>
      </x:c>
      <x:c r="M25" s="13" t="n">
        <x:f>K25*I25</x:f>
        <x:v>2</x:v>
      </x:c>
      <x:c r="N25" s="13" t="n">
        <x:f>K25-L25-M25</x:f>
        <x:v>4</x:v>
      </x:c>
      <x:c r="O25" s="15" t="n">
        <x:v>15</x:v>
      </x:c>
      <x:c r="P25" s="478" t="n">
        <x:f>'Summary'!$J$19</x:f>
        <x:v>14</x:v>
      </x:c>
      <x:c r="Q25" s="478" t="n">
        <x:f>'Summary'!$J$20</x:f>
        <x:v>48</x:v>
      </x:c>
      <x:c r="R25" s="61" t="n">
        <x:f>1/F25</x:f>
        <x:v>0.0025</x:v>
      </x:c>
      <x:c r="S25" s="13" t="n">
        <x:f>F25*G25*H25</x:f>
        <x:v>1.4</x:v>
      </x:c>
      <x:c r="T25" s="59" t="n">
        <x:f>E25*SUM('Summary'!$J$10:$J$11)</x:f>
        <x:v>0.44999999999999996</x:v>
      </x:c>
    </x:row>
    <x:row r="26" ht="25" customHeight="1">
      <x:c r="C26" s="31" t="n">
        <x:v>21</x:v>
      </x:c>
      <x:c r="D26" s="31" t="str">
        <x:v>Warm Neutral &amp; Blush Tints</x:v>
      </x:c>
      <x:c r="E26" s="474" t="n">
        <x:v>10</x:v>
      </x:c>
      <x:c r="F26" s="15" t="n">
        <x:v>400</x:v>
      </x:c>
      <x:c r="G26" s="34" t="n">
        <x:f>'Summary'!$J$6</x:f>
        <x:v>0.005</x:v>
      </x:c>
      <x:c r="H26" s="35" t="n">
        <x:f>'Summary'!$J$7</x:f>
        <x:v>0.7</x:v>
      </x:c>
      <x:c r="I26" s="35" t="n">
        <x:f>'Summary'!$J$8</x:f>
        <x:v>0.1</x:v>
      </x:c>
      <x:c r="J26" s="476" t="n">
        <x:f>E26*F26</x:f>
        <x:v>4000</x:v>
      </x:c>
      <x:c r="K26" s="36" t="n">
        <x:f>J26*G26</x:f>
        <x:v>20</x:v>
      </x:c>
      <x:c r="L26" s="36" t="n">
        <x:f>K26*H26</x:f>
        <x:v>14</x:v>
      </x:c>
      <x:c r="M26" s="36" t="n">
        <x:f>K26*I26</x:f>
        <x:v>2</x:v>
      </x:c>
      <x:c r="N26" s="36" t="n">
        <x:f>K26-L26-M26</x:f>
        <x:v>4</x:v>
      </x:c>
      <x:c r="O26" s="15" t="n">
        <x:v>15</x:v>
      </x:c>
      <x:c r="P26" s="477" t="n">
        <x:f>'Summary'!$J$19</x:f>
        <x:v>14</x:v>
      </x:c>
      <x:c r="Q26" s="477" t="n">
        <x:f>'Summary'!$J$20</x:f>
        <x:v>48</x:v>
      </x:c>
      <x:c r="R26" s="37" t="n">
        <x:f>1/F26</x:f>
        <x:v>0.0025</x:v>
      </x:c>
      <x:c r="S26" s="36" t="n">
        <x:f>F26*G26*H26</x:f>
        <x:v>1.4</x:v>
      </x:c>
      <x:c r="T26" s="34" t="n">
        <x:f>E26*SUM('Summary'!$J$10:$J$11)</x:f>
        <x:v>0.44999999999999996</x:v>
      </x:c>
    </x:row>
    <x:row r="27" ht="25" customHeight="1">
      <x:c r="C27" s="2" t="n">
        <x:v>22</x:v>
      </x:c>
      <x:c r="D27" s="2" t="str">
        <x:v>The Monochromatic Zenith</x:v>
      </x:c>
      <x:c r="E27" s="475" t="n">
        <x:v>6</x:v>
      </x:c>
      <x:c r="F27" s="15" t="n">
        <x:v>500</x:v>
      </x:c>
      <x:c r="G27" s="59" t="n">
        <x:f>'Summary'!$J$6</x:f>
        <x:v>0.005</x:v>
      </x:c>
      <x:c r="H27" s="60" t="n">
        <x:f>'Summary'!$J$7</x:f>
        <x:v>0.7</x:v>
      </x:c>
      <x:c r="I27" s="60" t="n">
        <x:f>'Summary'!$J$8</x:f>
        <x:v>0.1</x:v>
      </x:c>
      <x:c r="J27" s="17" t="n">
        <x:f>E27*F27</x:f>
        <x:v>3000</x:v>
      </x:c>
      <x:c r="K27" s="13" t="n">
        <x:f>J27*G27</x:f>
        <x:v>15</x:v>
      </x:c>
      <x:c r="L27" s="13" t="n">
        <x:f>K27*H27</x:f>
        <x:v>10.5</x:v>
      </x:c>
      <x:c r="M27" s="13" t="n">
        <x:f>K27*I27</x:f>
        <x:v>1.5</x:v>
      </x:c>
      <x:c r="N27" s="13" t="n">
        <x:f>K27-L27-M27</x:f>
        <x:v>3</x:v>
      </x:c>
      <x:c r="O27" s="15" t="n">
        <x:v>15</x:v>
      </x:c>
      <x:c r="P27" s="478" t="n">
        <x:f>'Summary'!$J$19</x:f>
        <x:v>14</x:v>
      </x:c>
      <x:c r="Q27" s="478" t="n">
        <x:f>'Summary'!$J$20</x:f>
        <x:v>48</x:v>
      </x:c>
      <x:c r="R27" s="61" t="n">
        <x:f>1/F27</x:f>
        <x:v>0.002</x:v>
      </x:c>
      <x:c r="S27" s="13" t="n">
        <x:f>F27*G27*H27</x:f>
        <x:v>1.75</x:v>
      </x:c>
      <x:c r="T27" s="59" t="n">
        <x:f>E27*SUM('Summary'!$J$10:$J$11)</x:f>
        <x:v>0.27</x:v>
      </x:c>
    </x:row>
    <x:row r="28" ht="25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30" customHeight="1">
      <x:c r="C29" s="6"/>
      <x:c r="D29" s="6" t="str">
        <x:v>All seasons</x:v>
      </x:c>
      <x:c r="E29" s="6" t="n">
        <x:f>SUM(E6:E27)</x:f>
        <x:v>216</x:v>
      </x:c>
      <x:c r="F29" s="6"/>
      <x:c r="G29" s="6"/>
      <x:c r="H29" s="6"/>
      <x:c r="I29" s="6"/>
      <x:c r="J29" s="6" t="n">
        <x:f>SUM(J6:J27)</x:f>
        <x:v>53000</x:v>
      </x:c>
      <x:c r="K29" s="480" t="n">
        <x:f>SUM(K6:K27)</x:f>
        <x:v>265</x:v>
      </x:c>
      <x:c r="L29" s="480" t="n">
        <x:f>SUM(L6:L27)</x:f>
        <x:v>185.5</x:v>
      </x:c>
      <x:c r="M29" s="480" t="n">
        <x:f>SUM(M6:M27)</x:f>
        <x:v>26.5</x:v>
      </x:c>
      <x:c r="N29" s="480" t="n">
        <x:f>SUM(N6:N27)</x:f>
        <x:v>53</x:v>
      </x:c>
      <x:c r="O29" s="6"/>
      <x:c r="P29" s="6"/>
      <x:c r="Q29" s="6"/>
      <x:c r="R29" s="6"/>
      <x:c r="S29" s="6"/>
      <x:c r="T29" s="480" t="n">
        <x:f>SUM(T6:T27)</x:f>
        <x:v>9.719999999999999</x:v>
      </x:c>
    </x:row>
    <x:row r="30" ht="25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25" customHeight="1">
      <x:c r="C31" s="2" t="str">
        <x:v>Growth is conditional. Keep the prior supply tier if demand gates in Summary do not pass.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25" customHeight="1">
      <x:c r="C32" s="2" t="str">
        <x:v>Gross operator allocation must fund gas, VRF, credits, overhead and treasury retention before any owner distribution.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25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25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</x:sheetData>
  <x:dataValidations count="2">
    <x:dataValidation type="whole" operator="between" sqref="F6:F27">
      <x:formula1>2</x:formula1>
      <x:formula2>100000</x:formula2>
    </x:dataValidation>
    <x:dataValidation type="whole" operator="between" sqref="O6:O27">
      <x:formula1>1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5C3AA"/>
  </x:sheetPr>
  <x:sheetViews>
    <x:sheetView showGridLines="0" workbookViewId="0">
      <x:pane xSplit="6" ySplit="5" topLeftCell="G6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10" hidden="0" customWidth="1"/>
    <x:col min="4" max="4" width="10" hidden="0" customWidth="1"/>
    <x:col min="5" max="5" width="37" hidden="0" customWidth="1"/>
    <x:col min="6" max="6" width="21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5" customHeight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2" customHeight="1">
      <x:c r="C2" s="3" t="str">
        <x:v>All 216 collection settings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C3" s="4" t="str">
        <x:v>Source: seasons.json. Colors retain their original order. Collection settings follow the season row and Summary assumptions.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5" customHeight="1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5" customHeight="1">
      <x:c r="C5" s="30" t="str">
        <x:v>Sequence</x:v>
      </x:c>
      <x:c r="D5" s="30" t="str">
        <x:v>Season</x:v>
      </x:c>
      <x:c r="E5" s="30" t="str">
        <x:v>Season name</x:v>
      </x:c>
      <x:c r="F5" s="30" t="str">
        <x:v>Collection name / color</x:v>
      </x:c>
      <x:c r="G5" s="30" t="str">
        <x:v>NFT supply</x:v>
      </x:c>
      <x:c r="H5" s="30" t="str">
        <x:v>Mint price ETH</x:v>
      </x:c>
      <x:c r="I5" s="30" t="str">
        <x:v>Mint value ETH</x:v>
      </x:c>
      <x:c r="J5" s="30" t="str">
        <x:v>Prize ETH</x:v>
      </x:c>
      <x:c r="K5" s="30" t="str">
        <x:v>Affiliates ETH</x:v>
      </x:c>
      <x:c r="L5" s="30" t="str">
        <x:v>Operator gross ETH</x:v>
      </x:c>
      <x:c r="M5" s="30" t="str">
        <x:v>Affiliate positions</x:v>
      </x:c>
      <x:c r="N5" s="30" t="str">
        <x:v>Deadline days</x:v>
      </x:c>
      <x:c r="O5" s="30" t="str">
        <x:v>Win probability</x:v>
      </x:c>
      <x:c r="P5" s="30" t="str">
        <x:v>Prize-only EV ETH</x:v>
      </x:c>
    </x:row>
    <x:row r="6" ht="25" customHeight="1">
      <x:c r="C6" s="31" t="n">
        <x:v>1</x:v>
      </x:c>
      <x:c r="D6" s="31" t="n">
        <x:v>1</x:v>
      </x:c>
      <x:c r="E6" s="31" t="str">
        <x:v>Crimson &amp; Blood Orange</x:v>
      </x:c>
      <x:c r="F6" s="39" t="str">
        <x:v>#330000</x:v>
      </x:c>
      <x:c r="G6" s="477" t="n">
        <x:f>'Seasons'!F6</x:f>
        <x:v>100</x:v>
      </x:c>
      <x:c r="H6" s="34" t="n">
        <x:f>'Seasons'!G6</x:f>
        <x:v>0.005</x:v>
      </x:c>
      <x:c r="I6" s="36" t="n">
        <x:f>G6*H6</x:f>
        <x:v>0.5</x:v>
      </x:c>
      <x:c r="J6" s="34" t="n">
        <x:f>I6*'Seasons'!H6</x:f>
        <x:v>0.35</x:v>
      </x:c>
      <x:c r="K6" s="34" t="n">
        <x:f>I6*'Seasons'!I6</x:f>
        <x:v>0.05</x:v>
      </x:c>
      <x:c r="L6" s="36" t="n">
        <x:f>I6-J6-K6</x:f>
        <x:v>0.10000000000000002</x:v>
      </x:c>
      <x:c r="M6" s="477" t="n">
        <x:f>'Seasons'!O6</x:f>
        <x:v>5</x:v>
      </x:c>
      <x:c r="N6" s="477" t="n">
        <x:f>'Seasons'!P6</x:f>
        <x:v>14</x:v>
      </x:c>
      <x:c r="O6" s="37" t="n">
        <x:f>1/G6</x:f>
        <x:v>0.01</x:v>
      </x:c>
      <x:c r="P6" s="36" t="n">
        <x:f>J6/G6</x:f>
        <x:v>0.0034999999999999996</x:v>
      </x:c>
    </x:row>
    <x:row r="7" ht="25" customHeight="1">
      <x:c r="C7" s="2" t="n">
        <x:v>2</x:v>
      </x:c>
      <x:c r="D7" s="2" t="n">
        <x:v>1</x:v>
      </x:c>
      <x:c r="E7" s="2" t="str">
        <x:v>Crimson &amp; Blood Orange</x:v>
      </x:c>
      <x:c r="F7" s="41" t="str">
        <x:v>#660000</x:v>
      </x:c>
      <x:c r="G7" s="478" t="n">
        <x:f>'Seasons'!F6</x:f>
        <x:v>100</x:v>
      </x:c>
      <x:c r="H7" s="59" t="n">
        <x:f>'Seasons'!G6</x:f>
        <x:v>0.005</x:v>
      </x:c>
      <x:c r="I7" s="13" t="n">
        <x:f>G7*H7</x:f>
        <x:v>0.5</x:v>
      </x:c>
      <x:c r="J7" s="59" t="n">
        <x:f>I7*'Seasons'!H6</x:f>
        <x:v>0.35</x:v>
      </x:c>
      <x:c r="K7" s="59" t="n">
        <x:f>I7*'Seasons'!I6</x:f>
        <x:v>0.05</x:v>
      </x:c>
      <x:c r="L7" s="13" t="n">
        <x:f>I7-J7-K7</x:f>
        <x:v>0.10000000000000002</x:v>
      </x:c>
      <x:c r="M7" s="478" t="n">
        <x:f>'Seasons'!O6</x:f>
        <x:v>5</x:v>
      </x:c>
      <x:c r="N7" s="478" t="n">
        <x:f>'Seasons'!P6</x:f>
        <x:v>14</x:v>
      </x:c>
      <x:c r="O7" s="61" t="n">
        <x:f>1/G7</x:f>
        <x:v>0.01</x:v>
      </x:c>
      <x:c r="P7" s="13" t="n">
        <x:f>J7/G7</x:f>
        <x:v>0.0034999999999999996</x:v>
      </x:c>
    </x:row>
    <x:row r="8" ht="25" customHeight="1">
      <x:c r="C8" s="31" t="n">
        <x:v>3</x:v>
      </x:c>
      <x:c r="D8" s="31" t="n">
        <x:v>1</x:v>
      </x:c>
      <x:c r="E8" s="31" t="str">
        <x:v>Crimson &amp; Blood Orange</x:v>
      </x:c>
      <x:c r="F8" s="44" t="str">
        <x:v>#990000</x:v>
      </x:c>
      <x:c r="G8" s="477" t="n">
        <x:f>'Seasons'!F6</x:f>
        <x:v>100</x:v>
      </x:c>
      <x:c r="H8" s="34" t="n">
        <x:f>'Seasons'!G6</x:f>
        <x:v>0.005</x:v>
      </x:c>
      <x:c r="I8" s="36" t="n">
        <x:f>G8*H8</x:f>
        <x:v>0.5</x:v>
      </x:c>
      <x:c r="J8" s="34" t="n">
        <x:f>I8*'Seasons'!H6</x:f>
        <x:v>0.35</x:v>
      </x:c>
      <x:c r="K8" s="34" t="n">
        <x:f>I8*'Seasons'!I6</x:f>
        <x:v>0.05</x:v>
      </x:c>
      <x:c r="L8" s="36" t="n">
        <x:f>I8-J8-K8</x:f>
        <x:v>0.10000000000000002</x:v>
      </x:c>
      <x:c r="M8" s="477" t="n">
        <x:f>'Seasons'!O6</x:f>
        <x:v>5</x:v>
      </x:c>
      <x:c r="N8" s="477" t="n">
        <x:f>'Seasons'!P6</x:f>
        <x:v>14</x:v>
      </x:c>
      <x:c r="O8" s="37" t="n">
        <x:f>1/G8</x:f>
        <x:v>0.01</x:v>
      </x:c>
      <x:c r="P8" s="36" t="n">
        <x:f>J8/G8</x:f>
        <x:v>0.0034999999999999996</x:v>
      </x:c>
    </x:row>
    <x:row r="9" ht="25" customHeight="1">
      <x:c r="C9" s="2" t="n">
        <x:v>4</x:v>
      </x:c>
      <x:c r="D9" s="2" t="n">
        <x:v>1</x:v>
      </x:c>
      <x:c r="E9" s="2" t="str">
        <x:v>Crimson &amp; Blood Orange</x:v>
      </x:c>
      <x:c r="F9" s="46" t="str">
        <x:v>#CC0000</x:v>
      </x:c>
      <x:c r="G9" s="478" t="n">
        <x:f>'Seasons'!F6</x:f>
        <x:v>100</x:v>
      </x:c>
      <x:c r="H9" s="59" t="n">
        <x:f>'Seasons'!G6</x:f>
        <x:v>0.005</x:v>
      </x:c>
      <x:c r="I9" s="13" t="n">
        <x:f>G9*H9</x:f>
        <x:v>0.5</x:v>
      </x:c>
      <x:c r="J9" s="59" t="n">
        <x:f>I9*'Seasons'!H6</x:f>
        <x:v>0.35</x:v>
      </x:c>
      <x:c r="K9" s="59" t="n">
        <x:f>I9*'Seasons'!I6</x:f>
        <x:v>0.05</x:v>
      </x:c>
      <x:c r="L9" s="13" t="n">
        <x:f>I9-J9-K9</x:f>
        <x:v>0.10000000000000002</x:v>
      </x:c>
      <x:c r="M9" s="478" t="n">
        <x:f>'Seasons'!O6</x:f>
        <x:v>5</x:v>
      </x:c>
      <x:c r="N9" s="478" t="n">
        <x:f>'Seasons'!P6</x:f>
        <x:v>14</x:v>
      </x:c>
      <x:c r="O9" s="61" t="n">
        <x:f>1/G9</x:f>
        <x:v>0.01</x:v>
      </x:c>
      <x:c r="P9" s="13" t="n">
        <x:f>J9/G9</x:f>
        <x:v>0.0034999999999999996</x:v>
      </x:c>
    </x:row>
    <x:row r="10" ht="25" customHeight="1">
      <x:c r="C10" s="31" t="n">
        <x:v>5</x:v>
      </x:c>
      <x:c r="D10" s="31" t="n">
        <x:v>1</x:v>
      </x:c>
      <x:c r="E10" s="31" t="str">
        <x:v>Crimson &amp; Blood Orange</x:v>
      </x:c>
      <x:c r="F10" s="48" t="str">
        <x:v>#FF0000</x:v>
      </x:c>
      <x:c r="G10" s="477" t="n">
        <x:f>'Seasons'!F6</x:f>
        <x:v>100</x:v>
      </x:c>
      <x:c r="H10" s="34" t="n">
        <x:f>'Seasons'!G6</x:f>
        <x:v>0.005</x:v>
      </x:c>
      <x:c r="I10" s="36" t="n">
        <x:f>G10*H10</x:f>
        <x:v>0.5</x:v>
      </x:c>
      <x:c r="J10" s="34" t="n">
        <x:f>I10*'Seasons'!H6</x:f>
        <x:v>0.35</x:v>
      </x:c>
      <x:c r="K10" s="34" t="n">
        <x:f>I10*'Seasons'!I6</x:f>
        <x:v>0.05</x:v>
      </x:c>
      <x:c r="L10" s="36" t="n">
        <x:f>I10-J10-K10</x:f>
        <x:v>0.10000000000000002</x:v>
      </x:c>
      <x:c r="M10" s="477" t="n">
        <x:f>'Seasons'!O6</x:f>
        <x:v>5</x:v>
      </x:c>
      <x:c r="N10" s="477" t="n">
        <x:f>'Seasons'!P6</x:f>
        <x:v>14</x:v>
      </x:c>
      <x:c r="O10" s="37" t="n">
        <x:f>1/G10</x:f>
        <x:v>0.01</x:v>
      </x:c>
      <x:c r="P10" s="36" t="n">
        <x:f>J10/G10</x:f>
        <x:v>0.0034999999999999996</x:v>
      </x:c>
    </x:row>
    <x:row r="11" ht="25" customHeight="1">
      <x:c r="C11" s="2" t="n">
        <x:v>6</x:v>
      </x:c>
      <x:c r="D11" s="2" t="n">
        <x:v>1</x:v>
      </x:c>
      <x:c r="E11" s="2" t="str">
        <x:v>Crimson &amp; Blood Orange</x:v>
      </x:c>
      <x:c r="F11" s="50" t="str">
        <x:v>#663300</x:v>
      </x:c>
      <x:c r="G11" s="478" t="n">
        <x:f>'Seasons'!F6</x:f>
        <x:v>100</x:v>
      </x:c>
      <x:c r="H11" s="59" t="n">
        <x:f>'Seasons'!G6</x:f>
        <x:v>0.005</x:v>
      </x:c>
      <x:c r="I11" s="13" t="n">
        <x:f>G11*H11</x:f>
        <x:v>0.5</x:v>
      </x:c>
      <x:c r="J11" s="59" t="n">
        <x:f>I11*'Seasons'!H6</x:f>
        <x:v>0.35</x:v>
      </x:c>
      <x:c r="K11" s="59" t="n">
        <x:f>I11*'Seasons'!I6</x:f>
        <x:v>0.05</x:v>
      </x:c>
      <x:c r="L11" s="13" t="n">
        <x:f>I11-J11-K11</x:f>
        <x:v>0.10000000000000002</x:v>
      </x:c>
      <x:c r="M11" s="478" t="n">
        <x:f>'Seasons'!O6</x:f>
        <x:v>5</x:v>
      </x:c>
      <x:c r="N11" s="478" t="n">
        <x:f>'Seasons'!P6</x:f>
        <x:v>14</x:v>
      </x:c>
      <x:c r="O11" s="61" t="n">
        <x:f>1/G11</x:f>
        <x:v>0.01</x:v>
      </x:c>
      <x:c r="P11" s="13" t="n">
        <x:f>J11/G11</x:f>
        <x:v>0.0034999999999999996</x:v>
      </x:c>
    </x:row>
    <x:row r="12" ht="25" customHeight="1">
      <x:c r="C12" s="31" t="n">
        <x:v>7</x:v>
      </x:c>
      <x:c r="D12" s="31" t="n">
        <x:v>1</x:v>
      </x:c>
      <x:c r="E12" s="31" t="str">
        <x:v>Crimson &amp; Blood Orange</x:v>
      </x:c>
      <x:c r="F12" s="52" t="str">
        <x:v>#993300</x:v>
      </x:c>
      <x:c r="G12" s="477" t="n">
        <x:f>'Seasons'!F6</x:f>
        <x:v>100</x:v>
      </x:c>
      <x:c r="H12" s="34" t="n">
        <x:f>'Seasons'!G6</x:f>
        <x:v>0.005</x:v>
      </x:c>
      <x:c r="I12" s="36" t="n">
        <x:f>G12*H12</x:f>
        <x:v>0.5</x:v>
      </x:c>
      <x:c r="J12" s="34" t="n">
        <x:f>I12*'Seasons'!H6</x:f>
        <x:v>0.35</x:v>
      </x:c>
      <x:c r="K12" s="34" t="n">
        <x:f>I12*'Seasons'!I6</x:f>
        <x:v>0.05</x:v>
      </x:c>
      <x:c r="L12" s="36" t="n">
        <x:f>I12-J12-K12</x:f>
        <x:v>0.10000000000000002</x:v>
      </x:c>
      <x:c r="M12" s="477" t="n">
        <x:f>'Seasons'!O6</x:f>
        <x:v>5</x:v>
      </x:c>
      <x:c r="N12" s="477" t="n">
        <x:f>'Seasons'!P6</x:f>
        <x:v>14</x:v>
      </x:c>
      <x:c r="O12" s="37" t="n">
        <x:f>1/G12</x:f>
        <x:v>0.01</x:v>
      </x:c>
      <x:c r="P12" s="36" t="n">
        <x:f>J12/G12</x:f>
        <x:v>0.0034999999999999996</x:v>
      </x:c>
    </x:row>
    <x:row r="13" ht="25" customHeight="1">
      <x:c r="C13" s="2" t="n">
        <x:v>8</x:v>
      </x:c>
      <x:c r="D13" s="2" t="n">
        <x:v>1</x:v>
      </x:c>
      <x:c r="E13" s="2" t="str">
        <x:v>Crimson &amp; Blood Orange</x:v>
      </x:c>
      <x:c r="F13" s="54" t="str">
        <x:v>#CC3300</x:v>
      </x:c>
      <x:c r="G13" s="478" t="n">
        <x:f>'Seasons'!F6</x:f>
        <x:v>100</x:v>
      </x:c>
      <x:c r="H13" s="59" t="n">
        <x:f>'Seasons'!G6</x:f>
        <x:v>0.005</x:v>
      </x:c>
      <x:c r="I13" s="13" t="n">
        <x:f>G13*H13</x:f>
        <x:v>0.5</x:v>
      </x:c>
      <x:c r="J13" s="59" t="n">
        <x:f>I13*'Seasons'!H6</x:f>
        <x:v>0.35</x:v>
      </x:c>
      <x:c r="K13" s="59" t="n">
        <x:f>I13*'Seasons'!I6</x:f>
        <x:v>0.05</x:v>
      </x:c>
      <x:c r="L13" s="13" t="n">
        <x:f>I13-J13-K13</x:f>
        <x:v>0.10000000000000002</x:v>
      </x:c>
      <x:c r="M13" s="478" t="n">
        <x:f>'Seasons'!O6</x:f>
        <x:v>5</x:v>
      </x:c>
      <x:c r="N13" s="478" t="n">
        <x:f>'Seasons'!P6</x:f>
        <x:v>14</x:v>
      </x:c>
      <x:c r="O13" s="61" t="n">
        <x:f>1/G13</x:f>
        <x:v>0.01</x:v>
      </x:c>
      <x:c r="P13" s="13" t="n">
        <x:f>J13/G13</x:f>
        <x:v>0.0034999999999999996</x:v>
      </x:c>
    </x:row>
    <x:row r="14" ht="25" customHeight="1">
      <x:c r="C14" s="31" t="n">
        <x:v>9</x:v>
      </x:c>
      <x:c r="D14" s="31" t="n">
        <x:v>1</x:v>
      </x:c>
      <x:c r="E14" s="31" t="str">
        <x:v>Crimson &amp; Blood Orange</x:v>
      </x:c>
      <x:c r="F14" s="56" t="str">
        <x:v>#FF3300</x:v>
      </x:c>
      <x:c r="G14" s="477" t="n">
        <x:f>'Seasons'!F6</x:f>
        <x:v>100</x:v>
      </x:c>
      <x:c r="H14" s="34" t="n">
        <x:f>'Seasons'!G6</x:f>
        <x:v>0.005</x:v>
      </x:c>
      <x:c r="I14" s="36" t="n">
        <x:f>G14*H14</x:f>
        <x:v>0.5</x:v>
      </x:c>
      <x:c r="J14" s="34" t="n">
        <x:f>I14*'Seasons'!H6</x:f>
        <x:v>0.35</x:v>
      </x:c>
      <x:c r="K14" s="34" t="n">
        <x:f>I14*'Seasons'!I6</x:f>
        <x:v>0.05</x:v>
      </x:c>
      <x:c r="L14" s="36" t="n">
        <x:f>I14-J14-K14</x:f>
        <x:v>0.10000000000000002</x:v>
      </x:c>
      <x:c r="M14" s="477" t="n">
        <x:f>'Seasons'!O6</x:f>
        <x:v>5</x:v>
      </x:c>
      <x:c r="N14" s="477" t="n">
        <x:f>'Seasons'!P6</x:f>
        <x:v>14</x:v>
      </x:c>
      <x:c r="O14" s="37" t="n">
        <x:f>1/G14</x:f>
        <x:v>0.01</x:v>
      </x:c>
      <x:c r="P14" s="36" t="n">
        <x:f>J14/G14</x:f>
        <x:v>0.0034999999999999996</x:v>
      </x:c>
    </x:row>
    <x:row r="15" ht="25" customHeight="1">
      <x:c r="C15" s="2" t="n">
        <x:v>10</x:v>
      </x:c>
      <x:c r="D15" s="2" t="n">
        <x:v>1</x:v>
      </x:c>
      <x:c r="E15" s="2" t="str">
        <x:v>Crimson &amp; Blood Orange</x:v>
      </x:c>
      <x:c r="F15" s="58" t="str">
        <x:v>#FF6600</x:v>
      </x:c>
      <x:c r="G15" s="478" t="n">
        <x:f>'Seasons'!F6</x:f>
        <x:v>100</x:v>
      </x:c>
      <x:c r="H15" s="59" t="n">
        <x:f>'Seasons'!G6</x:f>
        <x:v>0.005</x:v>
      </x:c>
      <x:c r="I15" s="13" t="n">
        <x:f>G15*H15</x:f>
        <x:v>0.5</x:v>
      </x:c>
      <x:c r="J15" s="59" t="n">
        <x:f>I15*'Seasons'!H6</x:f>
        <x:v>0.35</x:v>
      </x:c>
      <x:c r="K15" s="59" t="n">
        <x:f>I15*'Seasons'!I6</x:f>
        <x:v>0.05</x:v>
      </x:c>
      <x:c r="L15" s="13" t="n">
        <x:f>I15-J15-K15</x:f>
        <x:v>0.10000000000000002</x:v>
      </x:c>
      <x:c r="M15" s="478" t="n">
        <x:f>'Seasons'!O6</x:f>
        <x:v>5</x:v>
      </x:c>
      <x:c r="N15" s="478" t="n">
        <x:f>'Seasons'!P6</x:f>
        <x:v>14</x:v>
      </x:c>
      <x:c r="O15" s="61" t="n">
        <x:f>1/G15</x:f>
        <x:v>0.01</x:v>
      </x:c>
      <x:c r="P15" s="13" t="n">
        <x:f>J15/G15</x:f>
        <x:v>0.0034999999999999996</x:v>
      </x:c>
    </x:row>
    <x:row r="16" ht="25" customHeight="1">
      <x:c r="C16" s="31" t="n">
        <x:v>11</x:v>
      </x:c>
      <x:c r="D16" s="31" t="n">
        <x:v>2</x:v>
      </x:c>
      <x:c r="E16" s="31" t="str">
        <x:v>Burnt Sienna &amp; Terracotta</x:v>
      </x:c>
      <x:c r="F16" s="63" t="str">
        <x:v>#996600</x:v>
      </x:c>
      <x:c r="G16" s="477" t="n">
        <x:f>'Seasons'!F7</x:f>
        <x:v>100</x:v>
      </x:c>
      <x:c r="H16" s="34" t="n">
        <x:f>'Seasons'!G7</x:f>
        <x:v>0.005</x:v>
      </x:c>
      <x:c r="I16" s="36" t="n">
        <x:f>G16*H16</x:f>
        <x:v>0.5</x:v>
      </x:c>
      <x:c r="J16" s="34" t="n">
        <x:f>I16*'Seasons'!H7</x:f>
        <x:v>0.35</x:v>
      </x:c>
      <x:c r="K16" s="34" t="n">
        <x:f>I16*'Seasons'!I7</x:f>
        <x:v>0.05</x:v>
      </x:c>
      <x:c r="L16" s="36" t="n">
        <x:f>I16-J16-K16</x:f>
        <x:v>0.10000000000000002</x:v>
      </x:c>
      <x:c r="M16" s="477" t="n">
        <x:f>'Seasons'!O7</x:f>
        <x:v>5</x:v>
      </x:c>
      <x:c r="N16" s="477" t="n">
        <x:f>'Seasons'!P7</x:f>
        <x:v>14</x:v>
      </x:c>
      <x:c r="O16" s="37" t="n">
        <x:f>1/G16</x:f>
        <x:v>0.01</x:v>
      </x:c>
      <x:c r="P16" s="36" t="n">
        <x:f>J16/G16</x:f>
        <x:v>0.0034999999999999996</x:v>
      </x:c>
    </x:row>
    <x:row r="17" ht="25" customHeight="1">
      <x:c r="C17" s="2" t="n">
        <x:v>12</x:v>
      </x:c>
      <x:c r="D17" s="2" t="n">
        <x:v>2</x:v>
      </x:c>
      <x:c r="E17" s="2" t="str">
        <x:v>Burnt Sienna &amp; Terracotta</x:v>
      </x:c>
      <x:c r="F17" s="65" t="str">
        <x:v>#CC6600</x:v>
      </x:c>
      <x:c r="G17" s="478" t="n">
        <x:f>'Seasons'!F7</x:f>
        <x:v>100</x:v>
      </x:c>
      <x:c r="H17" s="59" t="n">
        <x:f>'Seasons'!G7</x:f>
        <x:v>0.005</x:v>
      </x:c>
      <x:c r="I17" s="13" t="n">
        <x:f>G17*H17</x:f>
        <x:v>0.5</x:v>
      </x:c>
      <x:c r="J17" s="59" t="n">
        <x:f>I17*'Seasons'!H7</x:f>
        <x:v>0.35</x:v>
      </x:c>
      <x:c r="K17" s="59" t="n">
        <x:f>I17*'Seasons'!I7</x:f>
        <x:v>0.05</x:v>
      </x:c>
      <x:c r="L17" s="13" t="n">
        <x:f>I17-J17-K17</x:f>
        <x:v>0.10000000000000002</x:v>
      </x:c>
      <x:c r="M17" s="478" t="n">
        <x:f>'Seasons'!O7</x:f>
        <x:v>5</x:v>
      </x:c>
      <x:c r="N17" s="478" t="n">
        <x:f>'Seasons'!P7</x:f>
        <x:v>14</x:v>
      </x:c>
      <x:c r="O17" s="61" t="n">
        <x:f>1/G17</x:f>
        <x:v>0.01</x:v>
      </x:c>
      <x:c r="P17" s="13" t="n">
        <x:f>J17/G17</x:f>
        <x:v>0.0034999999999999996</x:v>
      </x:c>
    </x:row>
    <x:row r="18" ht="25" customHeight="1">
      <x:c r="C18" s="31" t="n">
        <x:v>13</x:v>
      </x:c>
      <x:c r="D18" s="31" t="n">
        <x:v>2</x:v>
      </x:c>
      <x:c r="E18" s="31" t="str">
        <x:v>Burnt Sienna &amp; Terracotta</x:v>
      </x:c>
      <x:c r="F18" s="67" t="str">
        <x:v>#CC9900</x:v>
      </x:c>
      <x:c r="G18" s="477" t="n">
        <x:f>'Seasons'!F7</x:f>
        <x:v>100</x:v>
      </x:c>
      <x:c r="H18" s="34" t="n">
        <x:f>'Seasons'!G7</x:f>
        <x:v>0.005</x:v>
      </x:c>
      <x:c r="I18" s="36" t="n">
        <x:f>G18*H18</x:f>
        <x:v>0.5</x:v>
      </x:c>
      <x:c r="J18" s="34" t="n">
        <x:f>I18*'Seasons'!H7</x:f>
        <x:v>0.35</x:v>
      </x:c>
      <x:c r="K18" s="34" t="n">
        <x:f>I18*'Seasons'!I7</x:f>
        <x:v>0.05</x:v>
      </x:c>
      <x:c r="L18" s="36" t="n">
        <x:f>I18-J18-K18</x:f>
        <x:v>0.10000000000000002</x:v>
      </x:c>
      <x:c r="M18" s="477" t="n">
        <x:f>'Seasons'!O7</x:f>
        <x:v>5</x:v>
      </x:c>
      <x:c r="N18" s="477" t="n">
        <x:f>'Seasons'!P7</x:f>
        <x:v>14</x:v>
      </x:c>
      <x:c r="O18" s="37" t="n">
        <x:f>1/G18</x:f>
        <x:v>0.01</x:v>
      </x:c>
      <x:c r="P18" s="36" t="n">
        <x:f>J18/G18</x:f>
        <x:v>0.0034999999999999996</x:v>
      </x:c>
    </x:row>
    <x:row r="19" ht="25" customHeight="1">
      <x:c r="C19" s="2" t="n">
        <x:v>14</x:v>
      </x:c>
      <x:c r="D19" s="2" t="n">
        <x:v>2</x:v>
      </x:c>
      <x:c r="E19" s="2" t="str">
        <x:v>Burnt Sienna &amp; Terracotta</x:v>
      </x:c>
      <x:c r="F19" s="69" t="str">
        <x:v>#FF9900</x:v>
      </x:c>
      <x:c r="G19" s="478" t="n">
        <x:f>'Seasons'!F7</x:f>
        <x:v>100</x:v>
      </x:c>
      <x:c r="H19" s="59" t="n">
        <x:f>'Seasons'!G7</x:f>
        <x:v>0.005</x:v>
      </x:c>
      <x:c r="I19" s="13" t="n">
        <x:f>G19*H19</x:f>
        <x:v>0.5</x:v>
      </x:c>
      <x:c r="J19" s="59" t="n">
        <x:f>I19*'Seasons'!H7</x:f>
        <x:v>0.35</x:v>
      </x:c>
      <x:c r="K19" s="59" t="n">
        <x:f>I19*'Seasons'!I7</x:f>
        <x:v>0.05</x:v>
      </x:c>
      <x:c r="L19" s="13" t="n">
        <x:f>I19-J19-K19</x:f>
        <x:v>0.10000000000000002</x:v>
      </x:c>
      <x:c r="M19" s="478" t="n">
        <x:f>'Seasons'!O7</x:f>
        <x:v>5</x:v>
      </x:c>
      <x:c r="N19" s="478" t="n">
        <x:f>'Seasons'!P7</x:f>
        <x:v>14</x:v>
      </x:c>
      <x:c r="O19" s="61" t="n">
        <x:f>1/G19</x:f>
        <x:v>0.01</x:v>
      </x:c>
      <x:c r="P19" s="13" t="n">
        <x:f>J19/G19</x:f>
        <x:v>0.0034999999999999996</x:v>
      </x:c>
    </x:row>
    <x:row r="20" ht="25" customHeight="1">
      <x:c r="C20" s="31" t="n">
        <x:v>15</x:v>
      </x:c>
      <x:c r="D20" s="31" t="n">
        <x:v>2</x:v>
      </x:c>
      <x:c r="E20" s="31" t="str">
        <x:v>Burnt Sienna &amp; Terracotta</x:v>
      </x:c>
      <x:c r="F20" s="71" t="str">
        <x:v>#FFCC00</x:v>
      </x:c>
      <x:c r="G20" s="477" t="n">
        <x:f>'Seasons'!F7</x:f>
        <x:v>100</x:v>
      </x:c>
      <x:c r="H20" s="34" t="n">
        <x:f>'Seasons'!G7</x:f>
        <x:v>0.005</x:v>
      </x:c>
      <x:c r="I20" s="36" t="n">
        <x:f>G20*H20</x:f>
        <x:v>0.5</x:v>
      </x:c>
      <x:c r="J20" s="34" t="n">
        <x:f>I20*'Seasons'!H7</x:f>
        <x:v>0.35</x:v>
      </x:c>
      <x:c r="K20" s="34" t="n">
        <x:f>I20*'Seasons'!I7</x:f>
        <x:v>0.05</x:v>
      </x:c>
      <x:c r="L20" s="36" t="n">
        <x:f>I20-J20-K20</x:f>
        <x:v>0.10000000000000002</x:v>
      </x:c>
      <x:c r="M20" s="477" t="n">
        <x:f>'Seasons'!O7</x:f>
        <x:v>5</x:v>
      </x:c>
      <x:c r="N20" s="477" t="n">
        <x:f>'Seasons'!P7</x:f>
        <x:v>14</x:v>
      </x:c>
      <x:c r="O20" s="37" t="n">
        <x:f>1/G20</x:f>
        <x:v>0.01</x:v>
      </x:c>
      <x:c r="P20" s="36" t="n">
        <x:f>J20/G20</x:f>
        <x:v>0.0034999999999999996</x:v>
      </x:c>
    </x:row>
    <x:row r="21" ht="25" customHeight="1">
      <x:c r="C21" s="2" t="n">
        <x:v>16</x:v>
      </x:c>
      <x:c r="D21" s="2" t="n">
        <x:v>2</x:v>
      </x:c>
      <x:c r="E21" s="2" t="str">
        <x:v>Burnt Sienna &amp; Terracotta</x:v>
      </x:c>
      <x:c r="F21" s="73" t="str">
        <x:v>#663333</x:v>
      </x:c>
      <x:c r="G21" s="478" t="n">
        <x:f>'Seasons'!F7</x:f>
        <x:v>100</x:v>
      </x:c>
      <x:c r="H21" s="59" t="n">
        <x:f>'Seasons'!G7</x:f>
        <x:v>0.005</x:v>
      </x:c>
      <x:c r="I21" s="13" t="n">
        <x:f>G21*H21</x:f>
        <x:v>0.5</x:v>
      </x:c>
      <x:c r="J21" s="59" t="n">
        <x:f>I21*'Seasons'!H7</x:f>
        <x:v>0.35</x:v>
      </x:c>
      <x:c r="K21" s="59" t="n">
        <x:f>I21*'Seasons'!I7</x:f>
        <x:v>0.05</x:v>
      </x:c>
      <x:c r="L21" s="13" t="n">
        <x:f>I21-J21-K21</x:f>
        <x:v>0.10000000000000002</x:v>
      </x:c>
      <x:c r="M21" s="478" t="n">
        <x:f>'Seasons'!O7</x:f>
        <x:v>5</x:v>
      </x:c>
      <x:c r="N21" s="478" t="n">
        <x:f>'Seasons'!P7</x:f>
        <x:v>14</x:v>
      </x:c>
      <x:c r="O21" s="61" t="n">
        <x:f>1/G21</x:f>
        <x:v>0.01</x:v>
      </x:c>
      <x:c r="P21" s="13" t="n">
        <x:f>J21/G21</x:f>
        <x:v>0.0034999999999999996</x:v>
      </x:c>
    </x:row>
    <x:row r="22" ht="25" customHeight="1">
      <x:c r="C22" s="31" t="n">
        <x:v>17</x:v>
      </x:c>
      <x:c r="D22" s="31" t="n">
        <x:v>2</x:v>
      </x:c>
      <x:c r="E22" s="31" t="str">
        <x:v>Burnt Sienna &amp; Terracotta</x:v>
      </x:c>
      <x:c r="F22" s="75" t="str">
        <x:v>#993333</x:v>
      </x:c>
      <x:c r="G22" s="477" t="n">
        <x:f>'Seasons'!F7</x:f>
        <x:v>100</x:v>
      </x:c>
      <x:c r="H22" s="34" t="n">
        <x:f>'Seasons'!G7</x:f>
        <x:v>0.005</x:v>
      </x:c>
      <x:c r="I22" s="36" t="n">
        <x:f>G22*H22</x:f>
        <x:v>0.5</x:v>
      </x:c>
      <x:c r="J22" s="34" t="n">
        <x:f>I22*'Seasons'!H7</x:f>
        <x:v>0.35</x:v>
      </x:c>
      <x:c r="K22" s="34" t="n">
        <x:f>I22*'Seasons'!I7</x:f>
        <x:v>0.05</x:v>
      </x:c>
      <x:c r="L22" s="36" t="n">
        <x:f>I22-J22-K22</x:f>
        <x:v>0.10000000000000002</x:v>
      </x:c>
      <x:c r="M22" s="477" t="n">
        <x:f>'Seasons'!O7</x:f>
        <x:v>5</x:v>
      </x:c>
      <x:c r="N22" s="477" t="n">
        <x:f>'Seasons'!P7</x:f>
        <x:v>14</x:v>
      </x:c>
      <x:c r="O22" s="37" t="n">
        <x:f>1/G22</x:f>
        <x:v>0.01</x:v>
      </x:c>
      <x:c r="P22" s="36" t="n">
        <x:f>J22/G22</x:f>
        <x:v>0.0034999999999999996</x:v>
      </x:c>
    </x:row>
    <x:row r="23" ht="25" customHeight="1">
      <x:c r="C23" s="2" t="n">
        <x:v>18</x:v>
      </x:c>
      <x:c r="D23" s="2" t="n">
        <x:v>2</x:v>
      </x:c>
      <x:c r="E23" s="2" t="str">
        <x:v>Burnt Sienna &amp; Terracotta</x:v>
      </x:c>
      <x:c r="F23" s="77" t="str">
        <x:v>#CC3333</x:v>
      </x:c>
      <x:c r="G23" s="478" t="n">
        <x:f>'Seasons'!F7</x:f>
        <x:v>100</x:v>
      </x:c>
      <x:c r="H23" s="59" t="n">
        <x:f>'Seasons'!G7</x:f>
        <x:v>0.005</x:v>
      </x:c>
      <x:c r="I23" s="13" t="n">
        <x:f>G23*H23</x:f>
        <x:v>0.5</x:v>
      </x:c>
      <x:c r="J23" s="59" t="n">
        <x:f>I23*'Seasons'!H7</x:f>
        <x:v>0.35</x:v>
      </x:c>
      <x:c r="K23" s="59" t="n">
        <x:f>I23*'Seasons'!I7</x:f>
        <x:v>0.05</x:v>
      </x:c>
      <x:c r="L23" s="13" t="n">
        <x:f>I23-J23-K23</x:f>
        <x:v>0.10000000000000002</x:v>
      </x:c>
      <x:c r="M23" s="478" t="n">
        <x:f>'Seasons'!O7</x:f>
        <x:v>5</x:v>
      </x:c>
      <x:c r="N23" s="478" t="n">
        <x:f>'Seasons'!P7</x:f>
        <x:v>14</x:v>
      </x:c>
      <x:c r="O23" s="61" t="n">
        <x:f>1/G23</x:f>
        <x:v>0.01</x:v>
      </x:c>
      <x:c r="P23" s="13" t="n">
        <x:f>J23/G23</x:f>
        <x:v>0.0034999999999999996</x:v>
      </x:c>
    </x:row>
    <x:row r="24" ht="25" customHeight="1">
      <x:c r="C24" s="31" t="n">
        <x:v>19</x:v>
      </x:c>
      <x:c r="D24" s="31" t="n">
        <x:v>2</x:v>
      </x:c>
      <x:c r="E24" s="31" t="str">
        <x:v>Burnt Sienna &amp; Terracotta</x:v>
      </x:c>
      <x:c r="F24" s="79" t="str">
        <x:v>#FF3333</x:v>
      </x:c>
      <x:c r="G24" s="477" t="n">
        <x:f>'Seasons'!F7</x:f>
        <x:v>100</x:v>
      </x:c>
      <x:c r="H24" s="34" t="n">
        <x:f>'Seasons'!G7</x:f>
        <x:v>0.005</x:v>
      </x:c>
      <x:c r="I24" s="36" t="n">
        <x:f>G24*H24</x:f>
        <x:v>0.5</x:v>
      </x:c>
      <x:c r="J24" s="34" t="n">
        <x:f>I24*'Seasons'!H7</x:f>
        <x:v>0.35</x:v>
      </x:c>
      <x:c r="K24" s="34" t="n">
        <x:f>I24*'Seasons'!I7</x:f>
        <x:v>0.05</x:v>
      </x:c>
      <x:c r="L24" s="36" t="n">
        <x:f>I24-J24-K24</x:f>
        <x:v>0.10000000000000002</x:v>
      </x:c>
      <x:c r="M24" s="477" t="n">
        <x:f>'Seasons'!O7</x:f>
        <x:v>5</x:v>
      </x:c>
      <x:c r="N24" s="477" t="n">
        <x:f>'Seasons'!P7</x:f>
        <x:v>14</x:v>
      </x:c>
      <x:c r="O24" s="37" t="n">
        <x:f>1/G24</x:f>
        <x:v>0.01</x:v>
      </x:c>
      <x:c r="P24" s="36" t="n">
        <x:f>J24/G24</x:f>
        <x:v>0.0034999999999999996</x:v>
      </x:c>
    </x:row>
    <x:row r="25" ht="25" customHeight="1">
      <x:c r="C25" s="2" t="n">
        <x:v>20</x:v>
      </x:c>
      <x:c r="D25" s="2" t="n">
        <x:v>2</x:v>
      </x:c>
      <x:c r="E25" s="2" t="str">
        <x:v>Burnt Sienna &amp; Terracotta</x:v>
      </x:c>
      <x:c r="F25" s="81" t="str">
        <x:v>#996633</x:v>
      </x:c>
      <x:c r="G25" s="478" t="n">
        <x:f>'Seasons'!F7</x:f>
        <x:v>100</x:v>
      </x:c>
      <x:c r="H25" s="59" t="n">
        <x:f>'Seasons'!G7</x:f>
        <x:v>0.005</x:v>
      </x:c>
      <x:c r="I25" s="13" t="n">
        <x:f>G25*H25</x:f>
        <x:v>0.5</x:v>
      </x:c>
      <x:c r="J25" s="59" t="n">
        <x:f>I25*'Seasons'!H7</x:f>
        <x:v>0.35</x:v>
      </x:c>
      <x:c r="K25" s="59" t="n">
        <x:f>I25*'Seasons'!I7</x:f>
        <x:v>0.05</x:v>
      </x:c>
      <x:c r="L25" s="13" t="n">
        <x:f>I25-J25-K25</x:f>
        <x:v>0.10000000000000002</x:v>
      </x:c>
      <x:c r="M25" s="478" t="n">
        <x:f>'Seasons'!O7</x:f>
        <x:v>5</x:v>
      </x:c>
      <x:c r="N25" s="478" t="n">
        <x:f>'Seasons'!P7</x:f>
        <x:v>14</x:v>
      </x:c>
      <x:c r="O25" s="61" t="n">
        <x:f>1/G25</x:f>
        <x:v>0.01</x:v>
      </x:c>
      <x:c r="P25" s="13" t="n">
        <x:f>J25/G25</x:f>
        <x:v>0.0034999999999999996</x:v>
      </x:c>
    </x:row>
    <x:row r="26" ht="25" customHeight="1">
      <x:c r="C26" s="31" t="n">
        <x:v>21</x:v>
      </x:c>
      <x:c r="D26" s="31" t="n">
        <x:v>3</x:v>
      </x:c>
      <x:c r="E26" s="31" t="str">
        <x:v>Desert Sand &amp; Warm Amber</x:v>
      </x:c>
      <x:c r="F26" s="83" t="str">
        <x:v>#CC6633</x:v>
      </x:c>
      <x:c r="G26" s="477" t="n">
        <x:f>'Seasons'!F8</x:f>
        <x:v>150</x:v>
      </x:c>
      <x:c r="H26" s="34" t="n">
        <x:f>'Seasons'!G8</x:f>
        <x:v>0.005</x:v>
      </x:c>
      <x:c r="I26" s="36" t="n">
        <x:f>G26*H26</x:f>
        <x:v>0.75</x:v>
      </x:c>
      <x:c r="J26" s="34" t="n">
        <x:f>I26*'Seasons'!H8</x:f>
        <x:v>0.5249999999999999</x:v>
      </x:c>
      <x:c r="K26" s="34" t="n">
        <x:f>I26*'Seasons'!I8</x:f>
        <x:v>0.07500000000000001</x:v>
      </x:c>
      <x:c r="L26" s="36" t="n">
        <x:f>I26-J26-K26</x:f>
        <x:v>0.15000000000000008</x:v>
      </x:c>
      <x:c r="M26" s="477" t="n">
        <x:f>'Seasons'!O8</x:f>
        <x:v>5</x:v>
      </x:c>
      <x:c r="N26" s="477" t="n">
        <x:f>'Seasons'!P8</x:f>
        <x:v>14</x:v>
      </x:c>
      <x:c r="O26" s="37" t="n">
        <x:f>1/G26</x:f>
        <x:v>0.006666666666666667</x:v>
      </x:c>
      <x:c r="P26" s="36" t="n">
        <x:f>J26/G26</x:f>
        <x:v>0.003499999999999999</x:v>
      </x:c>
    </x:row>
    <x:row r="27" ht="25" customHeight="1">
      <x:c r="C27" s="2" t="n">
        <x:v>22</x:v>
      </x:c>
      <x:c r="D27" s="2" t="n">
        <x:v>3</x:v>
      </x:c>
      <x:c r="E27" s="2" t="str">
        <x:v>Desert Sand &amp; Warm Amber</x:v>
      </x:c>
      <x:c r="F27" s="85" t="str">
        <x:v>#FF6633</x:v>
      </x:c>
      <x:c r="G27" s="478" t="n">
        <x:f>'Seasons'!F8</x:f>
        <x:v>150</x:v>
      </x:c>
      <x:c r="H27" s="59" t="n">
        <x:f>'Seasons'!G8</x:f>
        <x:v>0.005</x:v>
      </x:c>
      <x:c r="I27" s="13" t="n">
        <x:f>G27*H27</x:f>
        <x:v>0.75</x:v>
      </x:c>
      <x:c r="J27" s="59" t="n">
        <x:f>I27*'Seasons'!H8</x:f>
        <x:v>0.5249999999999999</x:v>
      </x:c>
      <x:c r="K27" s="59" t="n">
        <x:f>I27*'Seasons'!I8</x:f>
        <x:v>0.07500000000000001</x:v>
      </x:c>
      <x:c r="L27" s="13" t="n">
        <x:f>I27-J27-K27</x:f>
        <x:v>0.15000000000000008</x:v>
      </x:c>
      <x:c r="M27" s="478" t="n">
        <x:f>'Seasons'!O8</x:f>
        <x:v>5</x:v>
      </x:c>
      <x:c r="N27" s="478" t="n">
        <x:f>'Seasons'!P8</x:f>
        <x:v>14</x:v>
      </x:c>
      <x:c r="O27" s="61" t="n">
        <x:f>1/G27</x:f>
        <x:v>0.006666666666666667</x:v>
      </x:c>
      <x:c r="P27" s="13" t="n">
        <x:f>J27/G27</x:f>
        <x:v>0.003499999999999999</x:v>
      </x:c>
    </x:row>
    <x:row r="28" ht="25" customHeight="1">
      <x:c r="C28" s="31" t="n">
        <x:v>23</x:v>
      </x:c>
      <x:c r="D28" s="31" t="n">
        <x:v>3</x:v>
      </x:c>
      <x:c r="E28" s="31" t="str">
        <x:v>Desert Sand &amp; Warm Amber</x:v>
      </x:c>
      <x:c r="F28" s="87" t="str">
        <x:v>#CC9933</x:v>
      </x:c>
      <x:c r="G28" s="477" t="n">
        <x:f>'Seasons'!F8</x:f>
        <x:v>150</x:v>
      </x:c>
      <x:c r="H28" s="34" t="n">
        <x:f>'Seasons'!G8</x:f>
        <x:v>0.005</x:v>
      </x:c>
      <x:c r="I28" s="36" t="n">
        <x:f>G28*H28</x:f>
        <x:v>0.75</x:v>
      </x:c>
      <x:c r="J28" s="34" t="n">
        <x:f>I28*'Seasons'!H8</x:f>
        <x:v>0.5249999999999999</x:v>
      </x:c>
      <x:c r="K28" s="34" t="n">
        <x:f>I28*'Seasons'!I8</x:f>
        <x:v>0.07500000000000001</x:v>
      </x:c>
      <x:c r="L28" s="36" t="n">
        <x:f>I28-J28-K28</x:f>
        <x:v>0.15000000000000008</x:v>
      </x:c>
      <x:c r="M28" s="477" t="n">
        <x:f>'Seasons'!O8</x:f>
        <x:v>5</x:v>
      </x:c>
      <x:c r="N28" s="477" t="n">
        <x:f>'Seasons'!P8</x:f>
        <x:v>14</x:v>
      </x:c>
      <x:c r="O28" s="37" t="n">
        <x:f>1/G28</x:f>
        <x:v>0.006666666666666667</x:v>
      </x:c>
      <x:c r="P28" s="36" t="n">
        <x:f>J28/G28</x:f>
        <x:v>0.003499999999999999</x:v>
      </x:c>
    </x:row>
    <x:row r="29" ht="25" customHeight="1">
      <x:c r="C29" s="2" t="n">
        <x:v>24</x:v>
      </x:c>
      <x:c r="D29" s="2" t="n">
        <x:v>3</x:v>
      </x:c>
      <x:c r="E29" s="2" t="str">
        <x:v>Desert Sand &amp; Warm Amber</x:v>
      </x:c>
      <x:c r="F29" s="89" t="str">
        <x:v>#FF9933</x:v>
      </x:c>
      <x:c r="G29" s="478" t="n">
        <x:f>'Seasons'!F8</x:f>
        <x:v>150</x:v>
      </x:c>
      <x:c r="H29" s="59" t="n">
        <x:f>'Seasons'!G8</x:f>
        <x:v>0.005</x:v>
      </x:c>
      <x:c r="I29" s="13" t="n">
        <x:f>G29*H29</x:f>
        <x:v>0.75</x:v>
      </x:c>
      <x:c r="J29" s="59" t="n">
        <x:f>I29*'Seasons'!H8</x:f>
        <x:v>0.5249999999999999</x:v>
      </x:c>
      <x:c r="K29" s="59" t="n">
        <x:f>I29*'Seasons'!I8</x:f>
        <x:v>0.07500000000000001</x:v>
      </x:c>
      <x:c r="L29" s="13" t="n">
        <x:f>I29-J29-K29</x:f>
        <x:v>0.15000000000000008</x:v>
      </x:c>
      <x:c r="M29" s="478" t="n">
        <x:f>'Seasons'!O8</x:f>
        <x:v>5</x:v>
      </x:c>
      <x:c r="N29" s="478" t="n">
        <x:f>'Seasons'!P8</x:f>
        <x:v>14</x:v>
      </x:c>
      <x:c r="O29" s="61" t="n">
        <x:f>1/G29</x:f>
        <x:v>0.006666666666666667</x:v>
      </x:c>
      <x:c r="P29" s="13" t="n">
        <x:f>J29/G29</x:f>
        <x:v>0.003499999999999999</x:v>
      </x:c>
    </x:row>
    <x:row r="30" ht="25" customHeight="1">
      <x:c r="C30" s="31" t="n">
        <x:v>25</x:v>
      </x:c>
      <x:c r="D30" s="31" t="n">
        <x:v>3</x:v>
      </x:c>
      <x:c r="E30" s="31" t="str">
        <x:v>Desert Sand &amp; Warm Amber</x:v>
      </x:c>
      <x:c r="F30" s="91" t="str">
        <x:v>#FFCC33</x:v>
      </x:c>
      <x:c r="G30" s="477" t="n">
        <x:f>'Seasons'!F8</x:f>
        <x:v>150</x:v>
      </x:c>
      <x:c r="H30" s="34" t="n">
        <x:f>'Seasons'!G8</x:f>
        <x:v>0.005</x:v>
      </x:c>
      <x:c r="I30" s="36" t="n">
        <x:f>G30*H30</x:f>
        <x:v>0.75</x:v>
      </x:c>
      <x:c r="J30" s="34" t="n">
        <x:f>I30*'Seasons'!H8</x:f>
        <x:v>0.5249999999999999</x:v>
      </x:c>
      <x:c r="K30" s="34" t="n">
        <x:f>I30*'Seasons'!I8</x:f>
        <x:v>0.07500000000000001</x:v>
      </x:c>
      <x:c r="L30" s="36" t="n">
        <x:f>I30-J30-K30</x:f>
        <x:v>0.15000000000000008</x:v>
      </x:c>
      <x:c r="M30" s="477" t="n">
        <x:f>'Seasons'!O8</x:f>
        <x:v>5</x:v>
      </x:c>
      <x:c r="N30" s="477" t="n">
        <x:f>'Seasons'!P8</x:f>
        <x:v>14</x:v>
      </x:c>
      <x:c r="O30" s="37" t="n">
        <x:f>1/G30</x:f>
        <x:v>0.006666666666666667</x:v>
      </x:c>
      <x:c r="P30" s="36" t="n">
        <x:f>J30/G30</x:f>
        <x:v>0.003499999999999999</x:v>
      </x:c>
    </x:row>
    <x:row r="31" ht="25" customHeight="1">
      <x:c r="C31" s="2" t="n">
        <x:v>26</x:v>
      </x:c>
      <x:c r="D31" s="2" t="n">
        <x:v>3</x:v>
      </x:c>
      <x:c r="E31" s="2" t="str">
        <x:v>Desert Sand &amp; Warm Amber</x:v>
      </x:c>
      <x:c r="F31" s="93" t="str">
        <x:v>#996666</x:v>
      </x:c>
      <x:c r="G31" s="478" t="n">
        <x:f>'Seasons'!F8</x:f>
        <x:v>150</x:v>
      </x:c>
      <x:c r="H31" s="59" t="n">
        <x:f>'Seasons'!G8</x:f>
        <x:v>0.005</x:v>
      </x:c>
      <x:c r="I31" s="13" t="n">
        <x:f>G31*H31</x:f>
        <x:v>0.75</x:v>
      </x:c>
      <x:c r="J31" s="59" t="n">
        <x:f>I31*'Seasons'!H8</x:f>
        <x:v>0.5249999999999999</x:v>
      </x:c>
      <x:c r="K31" s="59" t="n">
        <x:f>I31*'Seasons'!I8</x:f>
        <x:v>0.07500000000000001</x:v>
      </x:c>
      <x:c r="L31" s="13" t="n">
        <x:f>I31-J31-K31</x:f>
        <x:v>0.15000000000000008</x:v>
      </x:c>
      <x:c r="M31" s="478" t="n">
        <x:f>'Seasons'!O8</x:f>
        <x:v>5</x:v>
      </x:c>
      <x:c r="N31" s="478" t="n">
        <x:f>'Seasons'!P8</x:f>
        <x:v>14</x:v>
      </x:c>
      <x:c r="O31" s="61" t="n">
        <x:f>1/G31</x:f>
        <x:v>0.006666666666666667</x:v>
      </x:c>
      <x:c r="P31" s="13" t="n">
        <x:f>J31/G31</x:f>
        <x:v>0.003499999999999999</x:v>
      </x:c>
    </x:row>
    <x:row r="32" ht="25" customHeight="1">
      <x:c r="C32" s="31" t="n">
        <x:v>27</x:v>
      </x:c>
      <x:c r="D32" s="31" t="n">
        <x:v>3</x:v>
      </x:c>
      <x:c r="E32" s="31" t="str">
        <x:v>Desert Sand &amp; Warm Amber</x:v>
      </x:c>
      <x:c r="F32" s="95" t="str">
        <x:v>#CC6666</x:v>
      </x:c>
      <x:c r="G32" s="477" t="n">
        <x:f>'Seasons'!F8</x:f>
        <x:v>150</x:v>
      </x:c>
      <x:c r="H32" s="34" t="n">
        <x:f>'Seasons'!G8</x:f>
        <x:v>0.005</x:v>
      </x:c>
      <x:c r="I32" s="36" t="n">
        <x:f>G32*H32</x:f>
        <x:v>0.75</x:v>
      </x:c>
      <x:c r="J32" s="34" t="n">
        <x:f>I32*'Seasons'!H8</x:f>
        <x:v>0.5249999999999999</x:v>
      </x:c>
      <x:c r="K32" s="34" t="n">
        <x:f>I32*'Seasons'!I8</x:f>
        <x:v>0.07500000000000001</x:v>
      </x:c>
      <x:c r="L32" s="36" t="n">
        <x:f>I32-J32-K32</x:f>
        <x:v>0.15000000000000008</x:v>
      </x:c>
      <x:c r="M32" s="477" t="n">
        <x:f>'Seasons'!O8</x:f>
        <x:v>5</x:v>
      </x:c>
      <x:c r="N32" s="477" t="n">
        <x:f>'Seasons'!P8</x:f>
        <x:v>14</x:v>
      </x:c>
      <x:c r="O32" s="37" t="n">
        <x:f>1/G32</x:f>
        <x:v>0.006666666666666667</x:v>
      </x:c>
      <x:c r="P32" s="36" t="n">
        <x:f>J32/G32</x:f>
        <x:v>0.003499999999999999</x:v>
      </x:c>
    </x:row>
    <x:row r="33" ht="25" customHeight="1">
      <x:c r="C33" s="2" t="n">
        <x:v>28</x:v>
      </x:c>
      <x:c r="D33" s="2" t="n">
        <x:v>3</x:v>
      </x:c>
      <x:c r="E33" s="2" t="str">
        <x:v>Desert Sand &amp; Warm Amber</x:v>
      </x:c>
      <x:c r="F33" s="97" t="str">
        <x:v>#FF6666</x:v>
      </x:c>
      <x:c r="G33" s="478" t="n">
        <x:f>'Seasons'!F8</x:f>
        <x:v>150</x:v>
      </x:c>
      <x:c r="H33" s="59" t="n">
        <x:f>'Seasons'!G8</x:f>
        <x:v>0.005</x:v>
      </x:c>
      <x:c r="I33" s="13" t="n">
        <x:f>G33*H33</x:f>
        <x:v>0.75</x:v>
      </x:c>
      <x:c r="J33" s="59" t="n">
        <x:f>I33*'Seasons'!H8</x:f>
        <x:v>0.5249999999999999</x:v>
      </x:c>
      <x:c r="K33" s="59" t="n">
        <x:f>I33*'Seasons'!I8</x:f>
        <x:v>0.07500000000000001</x:v>
      </x:c>
      <x:c r="L33" s="13" t="n">
        <x:f>I33-J33-K33</x:f>
        <x:v>0.15000000000000008</x:v>
      </x:c>
      <x:c r="M33" s="478" t="n">
        <x:f>'Seasons'!O8</x:f>
        <x:v>5</x:v>
      </x:c>
      <x:c r="N33" s="478" t="n">
        <x:f>'Seasons'!P8</x:f>
        <x:v>14</x:v>
      </x:c>
      <x:c r="O33" s="61" t="n">
        <x:f>1/G33</x:f>
        <x:v>0.006666666666666667</x:v>
      </x:c>
      <x:c r="P33" s="13" t="n">
        <x:f>J33/G33</x:f>
        <x:v>0.003499999999999999</x:v>
      </x:c>
    </x:row>
    <x:row r="34" ht="25" customHeight="1">
      <x:c r="C34" s="31" t="n">
        <x:v>29</x:v>
      </x:c>
      <x:c r="D34" s="31" t="n">
        <x:v>3</x:v>
      </x:c>
      <x:c r="E34" s="31" t="str">
        <x:v>Desert Sand &amp; Warm Amber</x:v>
      </x:c>
      <x:c r="F34" s="99" t="str">
        <x:v>#CC9966</x:v>
      </x:c>
      <x:c r="G34" s="477" t="n">
        <x:f>'Seasons'!F8</x:f>
        <x:v>150</x:v>
      </x:c>
      <x:c r="H34" s="34" t="n">
        <x:f>'Seasons'!G8</x:f>
        <x:v>0.005</x:v>
      </x:c>
      <x:c r="I34" s="36" t="n">
        <x:f>G34*H34</x:f>
        <x:v>0.75</x:v>
      </x:c>
      <x:c r="J34" s="34" t="n">
        <x:f>I34*'Seasons'!H8</x:f>
        <x:v>0.5249999999999999</x:v>
      </x:c>
      <x:c r="K34" s="34" t="n">
        <x:f>I34*'Seasons'!I8</x:f>
        <x:v>0.07500000000000001</x:v>
      </x:c>
      <x:c r="L34" s="36" t="n">
        <x:f>I34-J34-K34</x:f>
        <x:v>0.15000000000000008</x:v>
      </x:c>
      <x:c r="M34" s="477" t="n">
        <x:f>'Seasons'!O8</x:f>
        <x:v>5</x:v>
      </x:c>
      <x:c r="N34" s="477" t="n">
        <x:f>'Seasons'!P8</x:f>
        <x:v>14</x:v>
      </x:c>
      <x:c r="O34" s="37" t="n">
        <x:f>1/G34</x:f>
        <x:v>0.006666666666666667</x:v>
      </x:c>
      <x:c r="P34" s="36" t="n">
        <x:f>J34/G34</x:f>
        <x:v>0.003499999999999999</x:v>
      </x:c>
    </x:row>
    <x:row r="35" ht="25" customHeight="1">
      <x:c r="C35" s="2" t="n">
        <x:v>30</x:v>
      </x:c>
      <x:c r="D35" s="2" t="n">
        <x:v>3</x:v>
      </x:c>
      <x:c r="E35" s="2" t="str">
        <x:v>Desert Sand &amp; Warm Amber</x:v>
      </x:c>
      <x:c r="F35" s="101" t="str">
        <x:v>#FF9966</x:v>
      </x:c>
      <x:c r="G35" s="478" t="n">
        <x:f>'Seasons'!F8</x:f>
        <x:v>150</x:v>
      </x:c>
      <x:c r="H35" s="59" t="n">
        <x:f>'Seasons'!G8</x:f>
        <x:v>0.005</x:v>
      </x:c>
      <x:c r="I35" s="13" t="n">
        <x:f>G35*H35</x:f>
        <x:v>0.75</x:v>
      </x:c>
      <x:c r="J35" s="59" t="n">
        <x:f>I35*'Seasons'!H8</x:f>
        <x:v>0.5249999999999999</x:v>
      </x:c>
      <x:c r="K35" s="59" t="n">
        <x:f>I35*'Seasons'!I8</x:f>
        <x:v>0.07500000000000001</x:v>
      </x:c>
      <x:c r="L35" s="13" t="n">
        <x:f>I35-J35-K35</x:f>
        <x:v>0.15000000000000008</x:v>
      </x:c>
      <x:c r="M35" s="478" t="n">
        <x:f>'Seasons'!O8</x:f>
        <x:v>5</x:v>
      </x:c>
      <x:c r="N35" s="478" t="n">
        <x:f>'Seasons'!P8</x:f>
        <x:v>14</x:v>
      </x:c>
      <x:c r="O35" s="61" t="n">
        <x:f>1/G35</x:f>
        <x:v>0.006666666666666667</x:v>
      </x:c>
      <x:c r="P35" s="13" t="n">
        <x:f>J35/G35</x:f>
        <x:v>0.003499999999999999</x:v>
      </x:c>
    </x:row>
    <x:row r="36" ht="25" customHeight="1">
      <x:c r="C36" s="31" t="n">
        <x:v>31</x:v>
      </x:c>
      <x:c r="D36" s="31" t="n">
        <x:v>4</x:v>
      </x:c>
      <x:c r="E36" s="31" t="str">
        <x:v>Solar Yellow &amp; Pastel Gold</x:v>
      </x:c>
      <x:c r="F36" s="103" t="str">
        <x:v>#FFFF00</x:v>
      </x:c>
      <x:c r="G36" s="477" t="n">
        <x:f>'Seasons'!F9</x:f>
        <x:v>150</x:v>
      </x:c>
      <x:c r="H36" s="34" t="n">
        <x:f>'Seasons'!G9</x:f>
        <x:v>0.005</x:v>
      </x:c>
      <x:c r="I36" s="36" t="n">
        <x:f>G36*H36</x:f>
        <x:v>0.75</x:v>
      </x:c>
      <x:c r="J36" s="34" t="n">
        <x:f>I36*'Seasons'!H9</x:f>
        <x:v>0.5249999999999999</x:v>
      </x:c>
      <x:c r="K36" s="34" t="n">
        <x:f>I36*'Seasons'!I9</x:f>
        <x:v>0.07500000000000001</x:v>
      </x:c>
      <x:c r="L36" s="36" t="n">
        <x:f>I36-J36-K36</x:f>
        <x:v>0.15000000000000008</x:v>
      </x:c>
      <x:c r="M36" s="477" t="n">
        <x:f>'Seasons'!O9</x:f>
        <x:v>5</x:v>
      </x:c>
      <x:c r="N36" s="477" t="n">
        <x:f>'Seasons'!P9</x:f>
        <x:v>14</x:v>
      </x:c>
      <x:c r="O36" s="37" t="n">
        <x:f>1/G36</x:f>
        <x:v>0.006666666666666667</x:v>
      </x:c>
      <x:c r="P36" s="36" t="n">
        <x:f>J36/G36</x:f>
        <x:v>0.003499999999999999</x:v>
      </x:c>
    </x:row>
    <x:row r="37" ht="25" customHeight="1">
      <x:c r="C37" s="2" t="n">
        <x:v>32</x:v>
      </x:c>
      <x:c r="D37" s="2" t="n">
        <x:v>4</x:v>
      </x:c>
      <x:c r="E37" s="2" t="str">
        <x:v>Solar Yellow &amp; Pastel Gold</x:v>
      </x:c>
      <x:c r="F37" s="105" t="str">
        <x:v>#FFFF33</x:v>
      </x:c>
      <x:c r="G37" s="478" t="n">
        <x:f>'Seasons'!F9</x:f>
        <x:v>150</x:v>
      </x:c>
      <x:c r="H37" s="59" t="n">
        <x:f>'Seasons'!G9</x:f>
        <x:v>0.005</x:v>
      </x:c>
      <x:c r="I37" s="13" t="n">
        <x:f>G37*H37</x:f>
        <x:v>0.75</x:v>
      </x:c>
      <x:c r="J37" s="59" t="n">
        <x:f>I37*'Seasons'!H9</x:f>
        <x:v>0.5249999999999999</x:v>
      </x:c>
      <x:c r="K37" s="59" t="n">
        <x:f>I37*'Seasons'!I9</x:f>
        <x:v>0.07500000000000001</x:v>
      </x:c>
      <x:c r="L37" s="13" t="n">
        <x:f>I37-J37-K37</x:f>
        <x:v>0.15000000000000008</x:v>
      </x:c>
      <x:c r="M37" s="478" t="n">
        <x:f>'Seasons'!O9</x:f>
        <x:v>5</x:v>
      </x:c>
      <x:c r="N37" s="478" t="n">
        <x:f>'Seasons'!P9</x:f>
        <x:v>14</x:v>
      </x:c>
      <x:c r="O37" s="61" t="n">
        <x:f>1/G37</x:f>
        <x:v>0.006666666666666667</x:v>
      </x:c>
      <x:c r="P37" s="13" t="n">
        <x:f>J37/G37</x:f>
        <x:v>0.003499999999999999</x:v>
      </x:c>
    </x:row>
    <x:row r="38" ht="25" customHeight="1">
      <x:c r="C38" s="31" t="n">
        <x:v>33</x:v>
      </x:c>
      <x:c r="D38" s="31" t="n">
        <x:v>4</x:v>
      </x:c>
      <x:c r="E38" s="31" t="str">
        <x:v>Solar Yellow &amp; Pastel Gold</x:v>
      </x:c>
      <x:c r="F38" s="107" t="str">
        <x:v>#FFFF66</x:v>
      </x:c>
      <x:c r="G38" s="477" t="n">
        <x:f>'Seasons'!F9</x:f>
        <x:v>150</x:v>
      </x:c>
      <x:c r="H38" s="34" t="n">
        <x:f>'Seasons'!G9</x:f>
        <x:v>0.005</x:v>
      </x:c>
      <x:c r="I38" s="36" t="n">
        <x:f>G38*H38</x:f>
        <x:v>0.75</x:v>
      </x:c>
      <x:c r="J38" s="34" t="n">
        <x:f>I38*'Seasons'!H9</x:f>
        <x:v>0.5249999999999999</x:v>
      </x:c>
      <x:c r="K38" s="34" t="n">
        <x:f>I38*'Seasons'!I9</x:f>
        <x:v>0.07500000000000001</x:v>
      </x:c>
      <x:c r="L38" s="36" t="n">
        <x:f>I38-J38-K38</x:f>
        <x:v>0.15000000000000008</x:v>
      </x:c>
      <x:c r="M38" s="477" t="n">
        <x:f>'Seasons'!O9</x:f>
        <x:v>5</x:v>
      </x:c>
      <x:c r="N38" s="477" t="n">
        <x:f>'Seasons'!P9</x:f>
        <x:v>14</x:v>
      </x:c>
      <x:c r="O38" s="37" t="n">
        <x:f>1/G38</x:f>
        <x:v>0.006666666666666667</x:v>
      </x:c>
      <x:c r="P38" s="36" t="n">
        <x:f>J38/G38</x:f>
        <x:v>0.003499999999999999</x:v>
      </x:c>
    </x:row>
    <x:row r="39" ht="25" customHeight="1">
      <x:c r="C39" s="2" t="n">
        <x:v>34</x:v>
      </x:c>
      <x:c r="D39" s="2" t="n">
        <x:v>4</x:v>
      </x:c>
      <x:c r="E39" s="2" t="str">
        <x:v>Solar Yellow &amp; Pastel Gold</x:v>
      </x:c>
      <x:c r="F39" s="109" t="str">
        <x:v>#FFFF99</x:v>
      </x:c>
      <x:c r="G39" s="478" t="n">
        <x:f>'Seasons'!F9</x:f>
        <x:v>150</x:v>
      </x:c>
      <x:c r="H39" s="59" t="n">
        <x:f>'Seasons'!G9</x:f>
        <x:v>0.005</x:v>
      </x:c>
      <x:c r="I39" s="13" t="n">
        <x:f>G39*H39</x:f>
        <x:v>0.75</x:v>
      </x:c>
      <x:c r="J39" s="59" t="n">
        <x:f>I39*'Seasons'!H9</x:f>
        <x:v>0.5249999999999999</x:v>
      </x:c>
      <x:c r="K39" s="59" t="n">
        <x:f>I39*'Seasons'!I9</x:f>
        <x:v>0.07500000000000001</x:v>
      </x:c>
      <x:c r="L39" s="13" t="n">
        <x:f>I39-J39-K39</x:f>
        <x:v>0.15000000000000008</x:v>
      </x:c>
      <x:c r="M39" s="478" t="n">
        <x:f>'Seasons'!O9</x:f>
        <x:v>5</x:v>
      </x:c>
      <x:c r="N39" s="478" t="n">
        <x:f>'Seasons'!P9</x:f>
        <x:v>14</x:v>
      </x:c>
      <x:c r="O39" s="61" t="n">
        <x:f>1/G39</x:f>
        <x:v>0.006666666666666667</x:v>
      </x:c>
      <x:c r="P39" s="13" t="n">
        <x:f>J39/G39</x:f>
        <x:v>0.003499999999999999</x:v>
      </x:c>
    </x:row>
    <x:row r="40" ht="25" customHeight="1">
      <x:c r="C40" s="31" t="n">
        <x:v>35</x:v>
      </x:c>
      <x:c r="D40" s="31" t="n">
        <x:v>4</x:v>
      </x:c>
      <x:c r="E40" s="31" t="str">
        <x:v>Solar Yellow &amp; Pastel Gold</x:v>
      </x:c>
      <x:c r="F40" s="111" t="str">
        <x:v>#FFFFCC</x:v>
      </x:c>
      <x:c r="G40" s="477" t="n">
        <x:f>'Seasons'!F9</x:f>
        <x:v>150</x:v>
      </x:c>
      <x:c r="H40" s="34" t="n">
        <x:f>'Seasons'!G9</x:f>
        <x:v>0.005</x:v>
      </x:c>
      <x:c r="I40" s="36" t="n">
        <x:f>G40*H40</x:f>
        <x:v>0.75</x:v>
      </x:c>
      <x:c r="J40" s="34" t="n">
        <x:f>I40*'Seasons'!H9</x:f>
        <x:v>0.5249999999999999</x:v>
      </x:c>
      <x:c r="K40" s="34" t="n">
        <x:f>I40*'Seasons'!I9</x:f>
        <x:v>0.07500000000000001</x:v>
      </x:c>
      <x:c r="L40" s="36" t="n">
        <x:f>I40-J40-K40</x:f>
        <x:v>0.15000000000000008</x:v>
      </x:c>
      <x:c r="M40" s="477" t="n">
        <x:f>'Seasons'!O9</x:f>
        <x:v>5</x:v>
      </x:c>
      <x:c r="N40" s="477" t="n">
        <x:f>'Seasons'!P9</x:f>
        <x:v>14</x:v>
      </x:c>
      <x:c r="O40" s="37" t="n">
        <x:f>1/G40</x:f>
        <x:v>0.006666666666666667</x:v>
      </x:c>
      <x:c r="P40" s="36" t="n">
        <x:f>J40/G40</x:f>
        <x:v>0.003499999999999999</x:v>
      </x:c>
    </x:row>
    <x:row r="41" ht="25" customHeight="1">
      <x:c r="C41" s="2" t="n">
        <x:v>36</x:v>
      </x:c>
      <x:c r="D41" s="2" t="n">
        <x:v>4</x:v>
      </x:c>
      <x:c r="E41" s="2" t="str">
        <x:v>Solar Yellow &amp; Pastel Gold</x:v>
      </x:c>
      <x:c r="F41" s="113" t="str">
        <x:v>#CCCC00</x:v>
      </x:c>
      <x:c r="G41" s="478" t="n">
        <x:f>'Seasons'!F9</x:f>
        <x:v>150</x:v>
      </x:c>
      <x:c r="H41" s="59" t="n">
        <x:f>'Seasons'!G9</x:f>
        <x:v>0.005</x:v>
      </x:c>
      <x:c r="I41" s="13" t="n">
        <x:f>G41*H41</x:f>
        <x:v>0.75</x:v>
      </x:c>
      <x:c r="J41" s="59" t="n">
        <x:f>I41*'Seasons'!H9</x:f>
        <x:v>0.5249999999999999</x:v>
      </x:c>
      <x:c r="K41" s="59" t="n">
        <x:f>I41*'Seasons'!I9</x:f>
        <x:v>0.07500000000000001</x:v>
      </x:c>
      <x:c r="L41" s="13" t="n">
        <x:f>I41-J41-K41</x:f>
        <x:v>0.15000000000000008</x:v>
      </x:c>
      <x:c r="M41" s="478" t="n">
        <x:f>'Seasons'!O9</x:f>
        <x:v>5</x:v>
      </x:c>
      <x:c r="N41" s="478" t="n">
        <x:f>'Seasons'!P9</x:f>
        <x:v>14</x:v>
      </x:c>
      <x:c r="O41" s="61" t="n">
        <x:f>1/G41</x:f>
        <x:v>0.006666666666666667</x:v>
      </x:c>
      <x:c r="P41" s="13" t="n">
        <x:f>J41/G41</x:f>
        <x:v>0.003499999999999999</x:v>
      </x:c>
    </x:row>
    <x:row r="42" ht="25" customHeight="1">
      <x:c r="C42" s="31" t="n">
        <x:v>37</x:v>
      </x:c>
      <x:c r="D42" s="31" t="n">
        <x:v>4</x:v>
      </x:c>
      <x:c r="E42" s="31" t="str">
        <x:v>Solar Yellow &amp; Pastel Gold</x:v>
      </x:c>
      <x:c r="F42" s="115" t="str">
        <x:v>#CCCC33</x:v>
      </x:c>
      <x:c r="G42" s="477" t="n">
        <x:f>'Seasons'!F9</x:f>
        <x:v>150</x:v>
      </x:c>
      <x:c r="H42" s="34" t="n">
        <x:f>'Seasons'!G9</x:f>
        <x:v>0.005</x:v>
      </x:c>
      <x:c r="I42" s="36" t="n">
        <x:f>G42*H42</x:f>
        <x:v>0.75</x:v>
      </x:c>
      <x:c r="J42" s="34" t="n">
        <x:f>I42*'Seasons'!H9</x:f>
        <x:v>0.5249999999999999</x:v>
      </x:c>
      <x:c r="K42" s="34" t="n">
        <x:f>I42*'Seasons'!I9</x:f>
        <x:v>0.07500000000000001</x:v>
      </x:c>
      <x:c r="L42" s="36" t="n">
        <x:f>I42-J42-K42</x:f>
        <x:v>0.15000000000000008</x:v>
      </x:c>
      <x:c r="M42" s="477" t="n">
        <x:f>'Seasons'!O9</x:f>
        <x:v>5</x:v>
      </x:c>
      <x:c r="N42" s="477" t="n">
        <x:f>'Seasons'!P9</x:f>
        <x:v>14</x:v>
      </x:c>
      <x:c r="O42" s="37" t="n">
        <x:f>1/G42</x:f>
        <x:v>0.006666666666666667</x:v>
      </x:c>
      <x:c r="P42" s="36" t="n">
        <x:f>J42/G42</x:f>
        <x:v>0.003499999999999999</x:v>
      </x:c>
    </x:row>
    <x:row r="43" ht="25" customHeight="1">
      <x:c r="C43" s="2" t="n">
        <x:v>38</x:v>
      </x:c>
      <x:c r="D43" s="2" t="n">
        <x:v>4</x:v>
      </x:c>
      <x:c r="E43" s="2" t="str">
        <x:v>Solar Yellow &amp; Pastel Gold</x:v>
      </x:c>
      <x:c r="F43" s="117" t="str">
        <x:v>#CCCC66</x:v>
      </x:c>
      <x:c r="G43" s="478" t="n">
        <x:f>'Seasons'!F9</x:f>
        <x:v>150</x:v>
      </x:c>
      <x:c r="H43" s="59" t="n">
        <x:f>'Seasons'!G9</x:f>
        <x:v>0.005</x:v>
      </x:c>
      <x:c r="I43" s="13" t="n">
        <x:f>G43*H43</x:f>
        <x:v>0.75</x:v>
      </x:c>
      <x:c r="J43" s="59" t="n">
        <x:f>I43*'Seasons'!H9</x:f>
        <x:v>0.5249999999999999</x:v>
      </x:c>
      <x:c r="K43" s="59" t="n">
        <x:f>I43*'Seasons'!I9</x:f>
        <x:v>0.07500000000000001</x:v>
      </x:c>
      <x:c r="L43" s="13" t="n">
        <x:f>I43-J43-K43</x:f>
        <x:v>0.15000000000000008</x:v>
      </x:c>
      <x:c r="M43" s="478" t="n">
        <x:f>'Seasons'!O9</x:f>
        <x:v>5</x:v>
      </x:c>
      <x:c r="N43" s="478" t="n">
        <x:f>'Seasons'!P9</x:f>
        <x:v>14</x:v>
      </x:c>
      <x:c r="O43" s="61" t="n">
        <x:f>1/G43</x:f>
        <x:v>0.006666666666666667</x:v>
      </x:c>
      <x:c r="P43" s="13" t="n">
        <x:f>J43/G43</x:f>
        <x:v>0.003499999999999999</x:v>
      </x:c>
    </x:row>
    <x:row r="44" ht="25" customHeight="1">
      <x:c r="C44" s="31" t="n">
        <x:v>39</x:v>
      </x:c>
      <x:c r="D44" s="31" t="n">
        <x:v>4</x:v>
      </x:c>
      <x:c r="E44" s="31" t="str">
        <x:v>Solar Yellow &amp; Pastel Gold</x:v>
      </x:c>
      <x:c r="F44" s="119" t="str">
        <x:v>#CCCC99</x:v>
      </x:c>
      <x:c r="G44" s="477" t="n">
        <x:f>'Seasons'!F9</x:f>
        <x:v>150</x:v>
      </x:c>
      <x:c r="H44" s="34" t="n">
        <x:f>'Seasons'!G9</x:f>
        <x:v>0.005</x:v>
      </x:c>
      <x:c r="I44" s="36" t="n">
        <x:f>G44*H44</x:f>
        <x:v>0.75</x:v>
      </x:c>
      <x:c r="J44" s="34" t="n">
        <x:f>I44*'Seasons'!H9</x:f>
        <x:v>0.5249999999999999</x:v>
      </x:c>
      <x:c r="K44" s="34" t="n">
        <x:f>I44*'Seasons'!I9</x:f>
        <x:v>0.07500000000000001</x:v>
      </x:c>
      <x:c r="L44" s="36" t="n">
        <x:f>I44-J44-K44</x:f>
        <x:v>0.15000000000000008</x:v>
      </x:c>
      <x:c r="M44" s="477" t="n">
        <x:f>'Seasons'!O9</x:f>
        <x:v>5</x:v>
      </x:c>
      <x:c r="N44" s="477" t="n">
        <x:f>'Seasons'!P9</x:f>
        <x:v>14</x:v>
      </x:c>
      <x:c r="O44" s="37" t="n">
        <x:f>1/G44</x:f>
        <x:v>0.006666666666666667</x:v>
      </x:c>
      <x:c r="P44" s="36" t="n">
        <x:f>J44/G44</x:f>
        <x:v>0.003499999999999999</x:v>
      </x:c>
    </x:row>
    <x:row r="45" ht="25" customHeight="1">
      <x:c r="C45" s="2" t="n">
        <x:v>40</x:v>
      </x:c>
      <x:c r="D45" s="2" t="n">
        <x:v>4</x:v>
      </x:c>
      <x:c r="E45" s="2" t="str">
        <x:v>Solar Yellow &amp; Pastel Gold</x:v>
      </x:c>
      <x:c r="F45" s="121" t="str">
        <x:v>#FFCC66</x:v>
      </x:c>
      <x:c r="G45" s="478" t="n">
        <x:f>'Seasons'!F9</x:f>
        <x:v>150</x:v>
      </x:c>
      <x:c r="H45" s="59" t="n">
        <x:f>'Seasons'!G9</x:f>
        <x:v>0.005</x:v>
      </x:c>
      <x:c r="I45" s="13" t="n">
        <x:f>G45*H45</x:f>
        <x:v>0.75</x:v>
      </x:c>
      <x:c r="J45" s="59" t="n">
        <x:f>I45*'Seasons'!H9</x:f>
        <x:v>0.5249999999999999</x:v>
      </x:c>
      <x:c r="K45" s="59" t="n">
        <x:f>I45*'Seasons'!I9</x:f>
        <x:v>0.07500000000000001</x:v>
      </x:c>
      <x:c r="L45" s="13" t="n">
        <x:f>I45-J45-K45</x:f>
        <x:v>0.15000000000000008</x:v>
      </x:c>
      <x:c r="M45" s="478" t="n">
        <x:f>'Seasons'!O9</x:f>
        <x:v>5</x:v>
      </x:c>
      <x:c r="N45" s="478" t="n">
        <x:f>'Seasons'!P9</x:f>
        <x:v>14</x:v>
      </x:c>
      <x:c r="O45" s="61" t="n">
        <x:f>1/G45</x:f>
        <x:v>0.006666666666666667</x:v>
      </x:c>
      <x:c r="P45" s="13" t="n">
        <x:f>J45/G45</x:f>
        <x:v>0.003499999999999999</x:v>
      </x:c>
    </x:row>
    <x:row r="46" ht="25" customHeight="1">
      <x:c r="C46" s="31" t="n">
        <x:v>41</x:v>
      </x:c>
      <x:c r="D46" s="31" t="n">
        <x:v>5</x:v>
      </x:c>
      <x:c r="E46" s="31" t="str">
        <x:v>Olive &amp; Dried Moss</x:v>
      </x:c>
      <x:c r="F46" s="123" t="str">
        <x:v>#333300</x:v>
      </x:c>
      <x:c r="G46" s="477" t="n">
        <x:f>'Seasons'!F10</x:f>
        <x:v>150</x:v>
      </x:c>
      <x:c r="H46" s="34" t="n">
        <x:f>'Seasons'!G10</x:f>
        <x:v>0.005</x:v>
      </x:c>
      <x:c r="I46" s="36" t="n">
        <x:f>G46*H46</x:f>
        <x:v>0.75</x:v>
      </x:c>
      <x:c r="J46" s="34" t="n">
        <x:f>I46*'Seasons'!H10</x:f>
        <x:v>0.5249999999999999</x:v>
      </x:c>
      <x:c r="K46" s="34" t="n">
        <x:f>I46*'Seasons'!I10</x:f>
        <x:v>0.07500000000000001</x:v>
      </x:c>
      <x:c r="L46" s="36" t="n">
        <x:f>I46-J46-K46</x:f>
        <x:v>0.15000000000000008</x:v>
      </x:c>
      <x:c r="M46" s="477" t="n">
        <x:f>'Seasons'!O10</x:f>
        <x:v>5</x:v>
      </x:c>
      <x:c r="N46" s="477" t="n">
        <x:f>'Seasons'!P10</x:f>
        <x:v>14</x:v>
      </x:c>
      <x:c r="O46" s="37" t="n">
        <x:f>1/G46</x:f>
        <x:v>0.006666666666666667</x:v>
      </x:c>
      <x:c r="P46" s="36" t="n">
        <x:f>J46/G46</x:f>
        <x:v>0.003499999999999999</x:v>
      </x:c>
    </x:row>
    <x:row r="47" ht="25" customHeight="1">
      <x:c r="C47" s="2" t="n">
        <x:v>42</x:v>
      </x:c>
      <x:c r="D47" s="2" t="n">
        <x:v>5</x:v>
      </x:c>
      <x:c r="E47" s="2" t="str">
        <x:v>Olive &amp; Dried Moss</x:v>
      </x:c>
      <x:c r="F47" s="125" t="str">
        <x:v>#666600</x:v>
      </x:c>
      <x:c r="G47" s="478" t="n">
        <x:f>'Seasons'!F10</x:f>
        <x:v>150</x:v>
      </x:c>
      <x:c r="H47" s="59" t="n">
        <x:f>'Seasons'!G10</x:f>
        <x:v>0.005</x:v>
      </x:c>
      <x:c r="I47" s="13" t="n">
        <x:f>G47*H47</x:f>
        <x:v>0.75</x:v>
      </x:c>
      <x:c r="J47" s="59" t="n">
        <x:f>I47*'Seasons'!H10</x:f>
        <x:v>0.5249999999999999</x:v>
      </x:c>
      <x:c r="K47" s="59" t="n">
        <x:f>I47*'Seasons'!I10</x:f>
        <x:v>0.07500000000000001</x:v>
      </x:c>
      <x:c r="L47" s="13" t="n">
        <x:f>I47-J47-K47</x:f>
        <x:v>0.15000000000000008</x:v>
      </x:c>
      <x:c r="M47" s="478" t="n">
        <x:f>'Seasons'!O10</x:f>
        <x:v>5</x:v>
      </x:c>
      <x:c r="N47" s="478" t="n">
        <x:f>'Seasons'!P10</x:f>
        <x:v>14</x:v>
      </x:c>
      <x:c r="O47" s="61" t="n">
        <x:f>1/G47</x:f>
        <x:v>0.006666666666666667</x:v>
      </x:c>
      <x:c r="P47" s="13" t="n">
        <x:f>J47/G47</x:f>
        <x:v>0.003499999999999999</x:v>
      </x:c>
    </x:row>
    <x:row r="48" ht="25" customHeight="1">
      <x:c r="C48" s="31" t="n">
        <x:v>43</x:v>
      </x:c>
      <x:c r="D48" s="31" t="n">
        <x:v>5</x:v>
      </x:c>
      <x:c r="E48" s="31" t="str">
        <x:v>Olive &amp; Dried Moss</x:v>
      </x:c>
      <x:c r="F48" s="127" t="str">
        <x:v>#666633</x:v>
      </x:c>
      <x:c r="G48" s="477" t="n">
        <x:f>'Seasons'!F10</x:f>
        <x:v>150</x:v>
      </x:c>
      <x:c r="H48" s="34" t="n">
        <x:f>'Seasons'!G10</x:f>
        <x:v>0.005</x:v>
      </x:c>
      <x:c r="I48" s="36" t="n">
        <x:f>G48*H48</x:f>
        <x:v>0.75</x:v>
      </x:c>
      <x:c r="J48" s="34" t="n">
        <x:f>I48*'Seasons'!H10</x:f>
        <x:v>0.5249999999999999</x:v>
      </x:c>
      <x:c r="K48" s="34" t="n">
        <x:f>I48*'Seasons'!I10</x:f>
        <x:v>0.07500000000000001</x:v>
      </x:c>
      <x:c r="L48" s="36" t="n">
        <x:f>I48-J48-K48</x:f>
        <x:v>0.15000000000000008</x:v>
      </x:c>
      <x:c r="M48" s="477" t="n">
        <x:f>'Seasons'!O10</x:f>
        <x:v>5</x:v>
      </x:c>
      <x:c r="N48" s="477" t="n">
        <x:f>'Seasons'!P10</x:f>
        <x:v>14</x:v>
      </x:c>
      <x:c r="O48" s="37" t="n">
        <x:f>1/G48</x:f>
        <x:v>0.006666666666666667</x:v>
      </x:c>
      <x:c r="P48" s="36" t="n">
        <x:f>J48/G48</x:f>
        <x:v>0.003499999999999999</x:v>
      </x:c>
    </x:row>
    <x:row r="49" ht="25" customHeight="1">
      <x:c r="C49" s="2" t="n">
        <x:v>44</x:v>
      </x:c>
      <x:c r="D49" s="2" t="n">
        <x:v>5</x:v>
      </x:c>
      <x:c r="E49" s="2" t="str">
        <x:v>Olive &amp; Dried Moss</x:v>
      </x:c>
      <x:c r="F49" s="129" t="str">
        <x:v>#999900</x:v>
      </x:c>
      <x:c r="G49" s="478" t="n">
        <x:f>'Seasons'!F10</x:f>
        <x:v>150</x:v>
      </x:c>
      <x:c r="H49" s="59" t="n">
        <x:f>'Seasons'!G10</x:f>
        <x:v>0.005</x:v>
      </x:c>
      <x:c r="I49" s="13" t="n">
        <x:f>G49*H49</x:f>
        <x:v>0.75</x:v>
      </x:c>
      <x:c r="J49" s="59" t="n">
        <x:f>I49*'Seasons'!H10</x:f>
        <x:v>0.5249999999999999</x:v>
      </x:c>
      <x:c r="K49" s="59" t="n">
        <x:f>I49*'Seasons'!I10</x:f>
        <x:v>0.07500000000000001</x:v>
      </x:c>
      <x:c r="L49" s="13" t="n">
        <x:f>I49-J49-K49</x:f>
        <x:v>0.15000000000000008</x:v>
      </x:c>
      <x:c r="M49" s="478" t="n">
        <x:f>'Seasons'!O10</x:f>
        <x:v>5</x:v>
      </x:c>
      <x:c r="N49" s="478" t="n">
        <x:f>'Seasons'!P10</x:f>
        <x:v>14</x:v>
      </x:c>
      <x:c r="O49" s="61" t="n">
        <x:f>1/G49</x:f>
        <x:v>0.006666666666666667</x:v>
      </x:c>
      <x:c r="P49" s="13" t="n">
        <x:f>J49/G49</x:f>
        <x:v>0.003499999999999999</x:v>
      </x:c>
    </x:row>
    <x:row r="50" ht="25" customHeight="1">
      <x:c r="C50" s="31" t="n">
        <x:v>45</x:v>
      </x:c>
      <x:c r="D50" s="31" t="n">
        <x:v>5</x:v>
      </x:c>
      <x:c r="E50" s="31" t="str">
        <x:v>Olive &amp; Dried Moss</x:v>
      </x:c>
      <x:c r="F50" s="131" t="str">
        <x:v>#999933</x:v>
      </x:c>
      <x:c r="G50" s="477" t="n">
        <x:f>'Seasons'!F10</x:f>
        <x:v>150</x:v>
      </x:c>
      <x:c r="H50" s="34" t="n">
        <x:f>'Seasons'!G10</x:f>
        <x:v>0.005</x:v>
      </x:c>
      <x:c r="I50" s="36" t="n">
        <x:f>G50*H50</x:f>
        <x:v>0.75</x:v>
      </x:c>
      <x:c r="J50" s="34" t="n">
        <x:f>I50*'Seasons'!H10</x:f>
        <x:v>0.5249999999999999</x:v>
      </x:c>
      <x:c r="K50" s="34" t="n">
        <x:f>I50*'Seasons'!I10</x:f>
        <x:v>0.07500000000000001</x:v>
      </x:c>
      <x:c r="L50" s="36" t="n">
        <x:f>I50-J50-K50</x:f>
        <x:v>0.15000000000000008</x:v>
      </x:c>
      <x:c r="M50" s="477" t="n">
        <x:f>'Seasons'!O10</x:f>
        <x:v>5</x:v>
      </x:c>
      <x:c r="N50" s="477" t="n">
        <x:f>'Seasons'!P10</x:f>
        <x:v>14</x:v>
      </x:c>
      <x:c r="O50" s="37" t="n">
        <x:f>1/G50</x:f>
        <x:v>0.006666666666666667</x:v>
      </x:c>
      <x:c r="P50" s="36" t="n">
        <x:f>J50/G50</x:f>
        <x:v>0.003499999999999999</x:v>
      </x:c>
    </x:row>
    <x:row r="51" ht="25" customHeight="1">
      <x:c r="C51" s="2" t="n">
        <x:v>46</x:v>
      </x:c>
      <x:c r="D51" s="2" t="n">
        <x:v>5</x:v>
      </x:c>
      <x:c r="E51" s="2" t="str">
        <x:v>Olive &amp; Dried Moss</x:v>
      </x:c>
      <x:c r="F51" s="133" t="str">
        <x:v>#999966</x:v>
      </x:c>
      <x:c r="G51" s="478" t="n">
        <x:f>'Seasons'!F10</x:f>
        <x:v>150</x:v>
      </x:c>
      <x:c r="H51" s="59" t="n">
        <x:f>'Seasons'!G10</x:f>
        <x:v>0.005</x:v>
      </x:c>
      <x:c r="I51" s="13" t="n">
        <x:f>G51*H51</x:f>
        <x:v>0.75</x:v>
      </x:c>
      <x:c r="J51" s="59" t="n">
        <x:f>I51*'Seasons'!H10</x:f>
        <x:v>0.5249999999999999</x:v>
      </x:c>
      <x:c r="K51" s="59" t="n">
        <x:f>I51*'Seasons'!I10</x:f>
        <x:v>0.07500000000000001</x:v>
      </x:c>
      <x:c r="L51" s="13" t="n">
        <x:f>I51-J51-K51</x:f>
        <x:v>0.15000000000000008</x:v>
      </x:c>
      <x:c r="M51" s="478" t="n">
        <x:f>'Seasons'!O10</x:f>
        <x:v>5</x:v>
      </x:c>
      <x:c r="N51" s="478" t="n">
        <x:f>'Seasons'!P10</x:f>
        <x:v>14</x:v>
      </x:c>
      <x:c r="O51" s="61" t="n">
        <x:f>1/G51</x:f>
        <x:v>0.006666666666666667</x:v>
      </x:c>
      <x:c r="P51" s="13" t="n">
        <x:f>J51/G51</x:f>
        <x:v>0.003499999999999999</x:v>
      </x:c>
    </x:row>
    <x:row r="52" ht="25" customHeight="1">
      <x:c r="C52" s="31" t="n">
        <x:v>47</x:v>
      </x:c>
      <x:c r="D52" s="31" t="n">
        <x:v>5</x:v>
      </x:c>
      <x:c r="E52" s="31" t="str">
        <x:v>Olive &amp; Dried Moss</x:v>
      </x:c>
      <x:c r="F52" s="135" t="str">
        <x:v>#669900</x:v>
      </x:c>
      <x:c r="G52" s="477" t="n">
        <x:f>'Seasons'!F10</x:f>
        <x:v>150</x:v>
      </x:c>
      <x:c r="H52" s="34" t="n">
        <x:f>'Seasons'!G10</x:f>
        <x:v>0.005</x:v>
      </x:c>
      <x:c r="I52" s="36" t="n">
        <x:f>G52*H52</x:f>
        <x:v>0.75</x:v>
      </x:c>
      <x:c r="J52" s="34" t="n">
        <x:f>I52*'Seasons'!H10</x:f>
        <x:v>0.5249999999999999</x:v>
      </x:c>
      <x:c r="K52" s="34" t="n">
        <x:f>I52*'Seasons'!I10</x:f>
        <x:v>0.07500000000000001</x:v>
      </x:c>
      <x:c r="L52" s="36" t="n">
        <x:f>I52-J52-K52</x:f>
        <x:v>0.15000000000000008</x:v>
      </x:c>
      <x:c r="M52" s="477" t="n">
        <x:f>'Seasons'!O10</x:f>
        <x:v>5</x:v>
      </x:c>
      <x:c r="N52" s="477" t="n">
        <x:f>'Seasons'!P10</x:f>
        <x:v>14</x:v>
      </x:c>
      <x:c r="O52" s="37" t="n">
        <x:f>1/G52</x:f>
        <x:v>0.006666666666666667</x:v>
      </x:c>
      <x:c r="P52" s="36" t="n">
        <x:f>J52/G52</x:f>
        <x:v>0.003499999999999999</x:v>
      </x:c>
    </x:row>
    <x:row r="53" ht="25" customHeight="1">
      <x:c r="C53" s="2" t="n">
        <x:v>48</x:v>
      </x:c>
      <x:c r="D53" s="2" t="n">
        <x:v>5</x:v>
      </x:c>
      <x:c r="E53" s="2" t="str">
        <x:v>Olive &amp; Dried Moss</x:v>
      </x:c>
      <x:c r="F53" s="137" t="str">
        <x:v>#669933</x:v>
      </x:c>
      <x:c r="G53" s="478" t="n">
        <x:f>'Seasons'!F10</x:f>
        <x:v>150</x:v>
      </x:c>
      <x:c r="H53" s="59" t="n">
        <x:f>'Seasons'!G10</x:f>
        <x:v>0.005</x:v>
      </x:c>
      <x:c r="I53" s="13" t="n">
        <x:f>G53*H53</x:f>
        <x:v>0.75</x:v>
      </x:c>
      <x:c r="J53" s="59" t="n">
        <x:f>I53*'Seasons'!H10</x:f>
        <x:v>0.5249999999999999</x:v>
      </x:c>
      <x:c r="K53" s="59" t="n">
        <x:f>I53*'Seasons'!I10</x:f>
        <x:v>0.07500000000000001</x:v>
      </x:c>
      <x:c r="L53" s="13" t="n">
        <x:f>I53-J53-K53</x:f>
        <x:v>0.15000000000000008</x:v>
      </x:c>
      <x:c r="M53" s="478" t="n">
        <x:f>'Seasons'!O10</x:f>
        <x:v>5</x:v>
      </x:c>
      <x:c r="N53" s="478" t="n">
        <x:f>'Seasons'!P10</x:f>
        <x:v>14</x:v>
      </x:c>
      <x:c r="O53" s="61" t="n">
        <x:f>1/G53</x:f>
        <x:v>0.006666666666666667</x:v>
      </x:c>
      <x:c r="P53" s="13" t="n">
        <x:f>J53/G53</x:f>
        <x:v>0.003499999999999999</x:v>
      </x:c>
    </x:row>
    <x:row r="54" ht="25" customHeight="1">
      <x:c r="C54" s="31" t="n">
        <x:v>49</x:v>
      </x:c>
      <x:c r="D54" s="31" t="n">
        <x:v>5</x:v>
      </x:c>
      <x:c r="E54" s="31" t="str">
        <x:v>Olive &amp; Dried Moss</x:v>
      </x:c>
      <x:c r="F54" s="139" t="str">
        <x:v>#99CC00</x:v>
      </x:c>
      <x:c r="G54" s="477" t="n">
        <x:f>'Seasons'!F10</x:f>
        <x:v>150</x:v>
      </x:c>
      <x:c r="H54" s="34" t="n">
        <x:f>'Seasons'!G10</x:f>
        <x:v>0.005</x:v>
      </x:c>
      <x:c r="I54" s="36" t="n">
        <x:f>G54*H54</x:f>
        <x:v>0.75</x:v>
      </x:c>
      <x:c r="J54" s="34" t="n">
        <x:f>I54*'Seasons'!H10</x:f>
        <x:v>0.5249999999999999</x:v>
      </x:c>
      <x:c r="K54" s="34" t="n">
        <x:f>I54*'Seasons'!I10</x:f>
        <x:v>0.07500000000000001</x:v>
      </x:c>
      <x:c r="L54" s="36" t="n">
        <x:f>I54-J54-K54</x:f>
        <x:v>0.15000000000000008</x:v>
      </x:c>
      <x:c r="M54" s="477" t="n">
        <x:f>'Seasons'!O10</x:f>
        <x:v>5</x:v>
      </x:c>
      <x:c r="N54" s="477" t="n">
        <x:f>'Seasons'!P10</x:f>
        <x:v>14</x:v>
      </x:c>
      <x:c r="O54" s="37" t="n">
        <x:f>1/G54</x:f>
        <x:v>0.006666666666666667</x:v>
      </x:c>
      <x:c r="P54" s="36" t="n">
        <x:f>J54/G54</x:f>
        <x:v>0.003499999999999999</x:v>
      </x:c>
    </x:row>
    <x:row r="55" ht="25" customHeight="1">
      <x:c r="C55" s="2" t="n">
        <x:v>50</x:v>
      </x:c>
      <x:c r="D55" s="2" t="n">
        <x:v>5</x:v>
      </x:c>
      <x:c r="E55" s="2" t="str">
        <x:v>Olive &amp; Dried Moss</x:v>
      </x:c>
      <x:c r="F55" s="141" t="str">
        <x:v>#99CC33</x:v>
      </x:c>
      <x:c r="G55" s="478" t="n">
        <x:f>'Seasons'!F10</x:f>
        <x:v>150</x:v>
      </x:c>
      <x:c r="H55" s="59" t="n">
        <x:f>'Seasons'!G10</x:f>
        <x:v>0.005</x:v>
      </x:c>
      <x:c r="I55" s="13" t="n">
        <x:f>G55*H55</x:f>
        <x:v>0.75</x:v>
      </x:c>
      <x:c r="J55" s="59" t="n">
        <x:f>I55*'Seasons'!H10</x:f>
        <x:v>0.5249999999999999</x:v>
      </x:c>
      <x:c r="K55" s="59" t="n">
        <x:f>I55*'Seasons'!I10</x:f>
        <x:v>0.07500000000000001</x:v>
      </x:c>
      <x:c r="L55" s="13" t="n">
        <x:f>I55-J55-K55</x:f>
        <x:v>0.15000000000000008</x:v>
      </x:c>
      <x:c r="M55" s="478" t="n">
        <x:f>'Seasons'!O10</x:f>
        <x:v>5</x:v>
      </x:c>
      <x:c r="N55" s="478" t="n">
        <x:f>'Seasons'!P10</x:f>
        <x:v>14</x:v>
      </x:c>
      <x:c r="O55" s="61" t="n">
        <x:f>1/G55</x:f>
        <x:v>0.006666666666666667</x:v>
      </x:c>
      <x:c r="P55" s="13" t="n">
        <x:f>J55/G55</x:f>
        <x:v>0.003499999999999999</x:v>
      </x:c>
    </x:row>
    <x:row r="56" ht="25" customHeight="1">
      <x:c r="C56" s="31" t="n">
        <x:v>51</x:v>
      </x:c>
      <x:c r="D56" s="31" t="n">
        <x:v>6</x:v>
      </x:c>
      <x:c r="E56" s="31" t="str">
        <x:v>Vivid Lime &amp; Chartreuse</x:v>
      </x:c>
      <x:c r="F56" s="143" t="str">
        <x:v>#336600</x:v>
      </x:c>
      <x:c r="G56" s="477" t="n">
        <x:f>'Seasons'!F11</x:f>
        <x:v>150</x:v>
      </x:c>
      <x:c r="H56" s="34" t="n">
        <x:f>'Seasons'!G11</x:f>
        <x:v>0.005</x:v>
      </x:c>
      <x:c r="I56" s="36" t="n">
        <x:f>G56*H56</x:f>
        <x:v>0.75</x:v>
      </x:c>
      <x:c r="J56" s="34" t="n">
        <x:f>I56*'Seasons'!H11</x:f>
        <x:v>0.5249999999999999</x:v>
      </x:c>
      <x:c r="K56" s="34" t="n">
        <x:f>I56*'Seasons'!I11</x:f>
        <x:v>0.07500000000000001</x:v>
      </x:c>
      <x:c r="L56" s="36" t="n">
        <x:f>I56-J56-K56</x:f>
        <x:v>0.15000000000000008</x:v>
      </x:c>
      <x:c r="M56" s="477" t="n">
        <x:f>'Seasons'!O11</x:f>
        <x:v>5</x:v>
      </x:c>
      <x:c r="N56" s="477" t="n">
        <x:f>'Seasons'!P11</x:f>
        <x:v>14</x:v>
      </x:c>
      <x:c r="O56" s="37" t="n">
        <x:f>1/G56</x:f>
        <x:v>0.006666666666666667</x:v>
      </x:c>
      <x:c r="P56" s="36" t="n">
        <x:f>J56/G56</x:f>
        <x:v>0.003499999999999999</x:v>
      </x:c>
    </x:row>
    <x:row r="57" ht="25" customHeight="1">
      <x:c r="C57" s="2" t="n">
        <x:v>52</x:v>
      </x:c>
      <x:c r="D57" s="2" t="n">
        <x:v>6</x:v>
      </x:c>
      <x:c r="E57" s="2" t="str">
        <x:v>Vivid Lime &amp; Chartreuse</x:v>
      </x:c>
      <x:c r="F57" s="145" t="str">
        <x:v>#339900</x:v>
      </x:c>
      <x:c r="G57" s="478" t="n">
        <x:f>'Seasons'!F11</x:f>
        <x:v>150</x:v>
      </x:c>
      <x:c r="H57" s="59" t="n">
        <x:f>'Seasons'!G11</x:f>
        <x:v>0.005</x:v>
      </x:c>
      <x:c r="I57" s="13" t="n">
        <x:f>G57*H57</x:f>
        <x:v>0.75</x:v>
      </x:c>
      <x:c r="J57" s="59" t="n">
        <x:f>I57*'Seasons'!H11</x:f>
        <x:v>0.5249999999999999</x:v>
      </x:c>
      <x:c r="K57" s="59" t="n">
        <x:f>I57*'Seasons'!I11</x:f>
        <x:v>0.07500000000000001</x:v>
      </x:c>
      <x:c r="L57" s="13" t="n">
        <x:f>I57-J57-K57</x:f>
        <x:v>0.15000000000000008</x:v>
      </x:c>
      <x:c r="M57" s="478" t="n">
        <x:f>'Seasons'!O11</x:f>
        <x:v>5</x:v>
      </x:c>
      <x:c r="N57" s="478" t="n">
        <x:f>'Seasons'!P11</x:f>
        <x:v>14</x:v>
      </x:c>
      <x:c r="O57" s="61" t="n">
        <x:f>1/G57</x:f>
        <x:v>0.006666666666666667</x:v>
      </x:c>
      <x:c r="P57" s="13" t="n">
        <x:f>J57/G57</x:f>
        <x:v>0.003499999999999999</x:v>
      </x:c>
    </x:row>
    <x:row r="58" ht="25" customHeight="1">
      <x:c r="C58" s="31" t="n">
        <x:v>53</x:v>
      </x:c>
      <x:c r="D58" s="31" t="n">
        <x:v>6</x:v>
      </x:c>
      <x:c r="E58" s="31" t="str">
        <x:v>Vivid Lime &amp; Chartreuse</x:v>
      </x:c>
      <x:c r="F58" s="147" t="str">
        <x:v>#33CC00</x:v>
      </x:c>
      <x:c r="G58" s="477" t="n">
        <x:f>'Seasons'!F11</x:f>
        <x:v>150</x:v>
      </x:c>
      <x:c r="H58" s="34" t="n">
        <x:f>'Seasons'!G11</x:f>
        <x:v>0.005</x:v>
      </x:c>
      <x:c r="I58" s="36" t="n">
        <x:f>G58*H58</x:f>
        <x:v>0.75</x:v>
      </x:c>
      <x:c r="J58" s="34" t="n">
        <x:f>I58*'Seasons'!H11</x:f>
        <x:v>0.5249999999999999</x:v>
      </x:c>
      <x:c r="K58" s="34" t="n">
        <x:f>I58*'Seasons'!I11</x:f>
        <x:v>0.07500000000000001</x:v>
      </x:c>
      <x:c r="L58" s="36" t="n">
        <x:f>I58-J58-K58</x:f>
        <x:v>0.15000000000000008</x:v>
      </x:c>
      <x:c r="M58" s="477" t="n">
        <x:f>'Seasons'!O11</x:f>
        <x:v>5</x:v>
      </x:c>
      <x:c r="N58" s="477" t="n">
        <x:f>'Seasons'!P11</x:f>
        <x:v>14</x:v>
      </x:c>
      <x:c r="O58" s="37" t="n">
        <x:f>1/G58</x:f>
        <x:v>0.006666666666666667</x:v>
      </x:c>
      <x:c r="P58" s="36" t="n">
        <x:f>J58/G58</x:f>
        <x:v>0.003499999999999999</x:v>
      </x:c>
    </x:row>
    <x:row r="59" ht="25" customHeight="1">
      <x:c r="C59" s="2" t="n">
        <x:v>54</x:v>
      </x:c>
      <x:c r="D59" s="2" t="n">
        <x:v>6</x:v>
      </x:c>
      <x:c r="E59" s="2" t="str">
        <x:v>Vivid Lime &amp; Chartreuse</x:v>
      </x:c>
      <x:c r="F59" s="149" t="str">
        <x:v>#33FF00</x:v>
      </x:c>
      <x:c r="G59" s="478" t="n">
        <x:f>'Seasons'!F11</x:f>
        <x:v>150</x:v>
      </x:c>
      <x:c r="H59" s="59" t="n">
        <x:f>'Seasons'!G11</x:f>
        <x:v>0.005</x:v>
      </x:c>
      <x:c r="I59" s="13" t="n">
        <x:f>G59*H59</x:f>
        <x:v>0.75</x:v>
      </x:c>
      <x:c r="J59" s="59" t="n">
        <x:f>I59*'Seasons'!H11</x:f>
        <x:v>0.5249999999999999</x:v>
      </x:c>
      <x:c r="K59" s="59" t="n">
        <x:f>I59*'Seasons'!I11</x:f>
        <x:v>0.07500000000000001</x:v>
      </x:c>
      <x:c r="L59" s="13" t="n">
        <x:f>I59-J59-K59</x:f>
        <x:v>0.15000000000000008</x:v>
      </x:c>
      <x:c r="M59" s="478" t="n">
        <x:f>'Seasons'!O11</x:f>
        <x:v>5</x:v>
      </x:c>
      <x:c r="N59" s="478" t="n">
        <x:f>'Seasons'!P11</x:f>
        <x:v>14</x:v>
      </x:c>
      <x:c r="O59" s="61" t="n">
        <x:f>1/G59</x:f>
        <x:v>0.006666666666666667</x:v>
      </x:c>
      <x:c r="P59" s="13" t="n">
        <x:f>J59/G59</x:f>
        <x:v>0.003499999999999999</x:v>
      </x:c>
    </x:row>
    <x:row r="60" ht="25" customHeight="1">
      <x:c r="C60" s="31" t="n">
        <x:v>55</x:v>
      </x:c>
      <x:c r="D60" s="31" t="n">
        <x:v>6</x:v>
      </x:c>
      <x:c r="E60" s="31" t="str">
        <x:v>Vivid Lime &amp; Chartreuse</x:v>
      </x:c>
      <x:c r="F60" s="151" t="str">
        <x:v>#66CC00</x:v>
      </x:c>
      <x:c r="G60" s="477" t="n">
        <x:f>'Seasons'!F11</x:f>
        <x:v>150</x:v>
      </x:c>
      <x:c r="H60" s="34" t="n">
        <x:f>'Seasons'!G11</x:f>
        <x:v>0.005</x:v>
      </x:c>
      <x:c r="I60" s="36" t="n">
        <x:f>G60*H60</x:f>
        <x:v>0.75</x:v>
      </x:c>
      <x:c r="J60" s="34" t="n">
        <x:f>I60*'Seasons'!H11</x:f>
        <x:v>0.5249999999999999</x:v>
      </x:c>
      <x:c r="K60" s="34" t="n">
        <x:f>I60*'Seasons'!I11</x:f>
        <x:v>0.07500000000000001</x:v>
      </x:c>
      <x:c r="L60" s="36" t="n">
        <x:f>I60-J60-K60</x:f>
        <x:v>0.15000000000000008</x:v>
      </x:c>
      <x:c r="M60" s="477" t="n">
        <x:f>'Seasons'!O11</x:f>
        <x:v>5</x:v>
      </x:c>
      <x:c r="N60" s="477" t="n">
        <x:f>'Seasons'!P11</x:f>
        <x:v>14</x:v>
      </x:c>
      <x:c r="O60" s="37" t="n">
        <x:f>1/G60</x:f>
        <x:v>0.006666666666666667</x:v>
      </x:c>
      <x:c r="P60" s="36" t="n">
        <x:f>J60/G60</x:f>
        <x:v>0.003499999999999999</x:v>
      </x:c>
    </x:row>
    <x:row r="61" ht="25" customHeight="1">
      <x:c r="C61" s="2" t="n">
        <x:v>56</x:v>
      </x:c>
      <x:c r="D61" s="2" t="n">
        <x:v>6</x:v>
      </x:c>
      <x:c r="E61" s="2" t="str">
        <x:v>Vivid Lime &amp; Chartreuse</x:v>
      </x:c>
      <x:c r="F61" s="153" t="str">
        <x:v>#66FF00</x:v>
      </x:c>
      <x:c r="G61" s="478" t="n">
        <x:f>'Seasons'!F11</x:f>
        <x:v>150</x:v>
      </x:c>
      <x:c r="H61" s="59" t="n">
        <x:f>'Seasons'!G11</x:f>
        <x:v>0.005</x:v>
      </x:c>
      <x:c r="I61" s="13" t="n">
        <x:f>G61*H61</x:f>
        <x:v>0.75</x:v>
      </x:c>
      <x:c r="J61" s="59" t="n">
        <x:f>I61*'Seasons'!H11</x:f>
        <x:v>0.5249999999999999</x:v>
      </x:c>
      <x:c r="K61" s="59" t="n">
        <x:f>I61*'Seasons'!I11</x:f>
        <x:v>0.07500000000000001</x:v>
      </x:c>
      <x:c r="L61" s="13" t="n">
        <x:f>I61-J61-K61</x:f>
        <x:v>0.15000000000000008</x:v>
      </x:c>
      <x:c r="M61" s="478" t="n">
        <x:f>'Seasons'!O11</x:f>
        <x:v>5</x:v>
      </x:c>
      <x:c r="N61" s="478" t="n">
        <x:f>'Seasons'!P11</x:f>
        <x:v>14</x:v>
      </x:c>
      <x:c r="O61" s="61" t="n">
        <x:f>1/G61</x:f>
        <x:v>0.006666666666666667</x:v>
      </x:c>
      <x:c r="P61" s="13" t="n">
        <x:f>J61/G61</x:f>
        <x:v>0.003499999999999999</x:v>
      </x:c>
    </x:row>
    <x:row r="62" ht="25" customHeight="1">
      <x:c r="C62" s="31" t="n">
        <x:v>57</x:v>
      </x:c>
      <x:c r="D62" s="31" t="n">
        <x:v>6</x:v>
      </x:c>
      <x:c r="E62" s="31" t="str">
        <x:v>Vivid Lime &amp; Chartreuse</x:v>
      </x:c>
      <x:c r="F62" s="155" t="str">
        <x:v>#99FF00</x:v>
      </x:c>
      <x:c r="G62" s="477" t="n">
        <x:f>'Seasons'!F11</x:f>
        <x:v>150</x:v>
      </x:c>
      <x:c r="H62" s="34" t="n">
        <x:f>'Seasons'!G11</x:f>
        <x:v>0.005</x:v>
      </x:c>
      <x:c r="I62" s="36" t="n">
        <x:f>G62*H62</x:f>
        <x:v>0.75</x:v>
      </x:c>
      <x:c r="J62" s="34" t="n">
        <x:f>I62*'Seasons'!H11</x:f>
        <x:v>0.5249999999999999</x:v>
      </x:c>
      <x:c r="K62" s="34" t="n">
        <x:f>I62*'Seasons'!I11</x:f>
        <x:v>0.07500000000000001</x:v>
      </x:c>
      <x:c r="L62" s="36" t="n">
        <x:f>I62-J62-K62</x:f>
        <x:v>0.15000000000000008</x:v>
      </x:c>
      <x:c r="M62" s="477" t="n">
        <x:f>'Seasons'!O11</x:f>
        <x:v>5</x:v>
      </x:c>
      <x:c r="N62" s="477" t="n">
        <x:f>'Seasons'!P11</x:f>
        <x:v>14</x:v>
      </x:c>
      <x:c r="O62" s="37" t="n">
        <x:f>1/G62</x:f>
        <x:v>0.006666666666666667</x:v>
      </x:c>
      <x:c r="P62" s="36" t="n">
        <x:f>J62/G62</x:f>
        <x:v>0.003499999999999999</x:v>
      </x:c>
    </x:row>
    <x:row r="63" ht="25" customHeight="1">
      <x:c r="C63" s="2" t="n">
        <x:v>58</x:v>
      </x:c>
      <x:c r="D63" s="2" t="n">
        <x:v>6</x:v>
      </x:c>
      <x:c r="E63" s="2" t="str">
        <x:v>Vivid Lime &amp; Chartreuse</x:v>
      </x:c>
      <x:c r="F63" s="157" t="str">
        <x:v>#99FF33</x:v>
      </x:c>
      <x:c r="G63" s="478" t="n">
        <x:f>'Seasons'!F11</x:f>
        <x:v>150</x:v>
      </x:c>
      <x:c r="H63" s="59" t="n">
        <x:f>'Seasons'!G11</x:f>
        <x:v>0.005</x:v>
      </x:c>
      <x:c r="I63" s="13" t="n">
        <x:f>G63*H63</x:f>
        <x:v>0.75</x:v>
      </x:c>
      <x:c r="J63" s="59" t="n">
        <x:f>I63*'Seasons'!H11</x:f>
        <x:v>0.5249999999999999</x:v>
      </x:c>
      <x:c r="K63" s="59" t="n">
        <x:f>I63*'Seasons'!I11</x:f>
        <x:v>0.07500000000000001</x:v>
      </x:c>
      <x:c r="L63" s="13" t="n">
        <x:f>I63-J63-K63</x:f>
        <x:v>0.15000000000000008</x:v>
      </x:c>
      <x:c r="M63" s="478" t="n">
        <x:f>'Seasons'!O11</x:f>
        <x:v>5</x:v>
      </x:c>
      <x:c r="N63" s="478" t="n">
        <x:f>'Seasons'!P11</x:f>
        <x:v>14</x:v>
      </x:c>
      <x:c r="O63" s="61" t="n">
        <x:f>1/G63</x:f>
        <x:v>0.006666666666666667</x:v>
      </x:c>
      <x:c r="P63" s="13" t="n">
        <x:f>J63/G63</x:f>
        <x:v>0.003499999999999999</x:v>
      </x:c>
    </x:row>
    <x:row r="64" ht="25" customHeight="1">
      <x:c r="C64" s="31" t="n">
        <x:v>59</x:v>
      </x:c>
      <x:c r="D64" s="31" t="n">
        <x:v>6</x:v>
      </x:c>
      <x:c r="E64" s="31" t="str">
        <x:v>Vivid Lime &amp; Chartreuse</x:v>
      </x:c>
      <x:c r="F64" s="159" t="str">
        <x:v>#CCFF00</x:v>
      </x:c>
      <x:c r="G64" s="477" t="n">
        <x:f>'Seasons'!F11</x:f>
        <x:v>150</x:v>
      </x:c>
      <x:c r="H64" s="34" t="n">
        <x:f>'Seasons'!G11</x:f>
        <x:v>0.005</x:v>
      </x:c>
      <x:c r="I64" s="36" t="n">
        <x:f>G64*H64</x:f>
        <x:v>0.75</x:v>
      </x:c>
      <x:c r="J64" s="34" t="n">
        <x:f>I64*'Seasons'!H11</x:f>
        <x:v>0.5249999999999999</x:v>
      </x:c>
      <x:c r="K64" s="34" t="n">
        <x:f>I64*'Seasons'!I11</x:f>
        <x:v>0.07500000000000001</x:v>
      </x:c>
      <x:c r="L64" s="36" t="n">
        <x:f>I64-J64-K64</x:f>
        <x:v>0.15000000000000008</x:v>
      </x:c>
      <x:c r="M64" s="477" t="n">
        <x:f>'Seasons'!O11</x:f>
        <x:v>5</x:v>
      </x:c>
      <x:c r="N64" s="477" t="n">
        <x:f>'Seasons'!P11</x:f>
        <x:v>14</x:v>
      </x:c>
      <x:c r="O64" s="37" t="n">
        <x:f>1/G64</x:f>
        <x:v>0.006666666666666667</x:v>
      </x:c>
      <x:c r="P64" s="36" t="n">
        <x:f>J64/G64</x:f>
        <x:v>0.003499999999999999</x:v>
      </x:c>
    </x:row>
    <x:row r="65" ht="25" customHeight="1">
      <x:c r="C65" s="2" t="n">
        <x:v>60</x:v>
      </x:c>
      <x:c r="D65" s="2" t="n">
        <x:v>6</x:v>
      </x:c>
      <x:c r="E65" s="2" t="str">
        <x:v>Vivid Lime &amp; Chartreuse</x:v>
      </x:c>
      <x:c r="F65" s="161" t="str">
        <x:v>#CCFF33</x:v>
      </x:c>
      <x:c r="G65" s="478" t="n">
        <x:f>'Seasons'!F11</x:f>
        <x:v>150</x:v>
      </x:c>
      <x:c r="H65" s="59" t="n">
        <x:f>'Seasons'!G11</x:f>
        <x:v>0.005</x:v>
      </x:c>
      <x:c r="I65" s="13" t="n">
        <x:f>G65*H65</x:f>
        <x:v>0.75</x:v>
      </x:c>
      <x:c r="J65" s="59" t="n">
        <x:f>I65*'Seasons'!H11</x:f>
        <x:v>0.5249999999999999</x:v>
      </x:c>
      <x:c r="K65" s="59" t="n">
        <x:f>I65*'Seasons'!I11</x:f>
        <x:v>0.07500000000000001</x:v>
      </x:c>
      <x:c r="L65" s="13" t="n">
        <x:f>I65-J65-K65</x:f>
        <x:v>0.15000000000000008</x:v>
      </x:c>
      <x:c r="M65" s="478" t="n">
        <x:f>'Seasons'!O11</x:f>
        <x:v>5</x:v>
      </x:c>
      <x:c r="N65" s="478" t="n">
        <x:f>'Seasons'!P11</x:f>
        <x:v>14</x:v>
      </x:c>
      <x:c r="O65" s="61" t="n">
        <x:f>1/G65</x:f>
        <x:v>0.006666666666666667</x:v>
      </x:c>
      <x:c r="P65" s="13" t="n">
        <x:f>J65/G65</x:f>
        <x:v>0.003499999999999999</x:v>
      </x:c>
    </x:row>
    <x:row r="66" ht="25" customHeight="1">
      <x:c r="C66" s="31" t="n">
        <x:v>61</x:v>
      </x:c>
      <x:c r="D66" s="31" t="n">
        <x:v>7</x:v>
      </x:c>
      <x:c r="E66" s="31" t="str">
        <x:v>Spring Foliage &amp; Meadow</x:v>
      </x:c>
      <x:c r="F66" s="163" t="str">
        <x:v>#CCFF66</x:v>
      </x:c>
      <x:c r="G66" s="477" t="n">
        <x:f>'Seasons'!F12</x:f>
        <x:v>200</x:v>
      </x:c>
      <x:c r="H66" s="34" t="n">
        <x:f>'Seasons'!G12</x:f>
        <x:v>0.005</x:v>
      </x:c>
      <x:c r="I66" s="36" t="n">
        <x:f>G66*H66</x:f>
        <x:v>1</x:v>
      </x:c>
      <x:c r="J66" s="34" t="n">
        <x:f>I66*'Seasons'!H12</x:f>
        <x:v>0.7</x:v>
      </x:c>
      <x:c r="K66" s="34" t="n">
        <x:f>I66*'Seasons'!I12</x:f>
        <x:v>0.1</x:v>
      </x:c>
      <x:c r="L66" s="36" t="n">
        <x:f>I66-J66-K66</x:f>
        <x:v>0.20000000000000004</x:v>
      </x:c>
      <x:c r="M66" s="477" t="n">
        <x:f>'Seasons'!O12</x:f>
        <x:v>10</x:v>
      </x:c>
      <x:c r="N66" s="477" t="n">
        <x:f>'Seasons'!P12</x:f>
        <x:v>14</x:v>
      </x:c>
      <x:c r="O66" s="37" t="n">
        <x:f>1/G66</x:f>
        <x:v>0.005</x:v>
      </x:c>
      <x:c r="P66" s="36" t="n">
        <x:f>J66/G66</x:f>
        <x:v>0.0034999999999999996</x:v>
      </x:c>
    </x:row>
    <x:row r="67" ht="25" customHeight="1">
      <x:c r="C67" s="2" t="n">
        <x:v>62</x:v>
      </x:c>
      <x:c r="D67" s="2" t="n">
        <x:v>7</x:v>
      </x:c>
      <x:c r="E67" s="2" t="str">
        <x:v>Spring Foliage &amp; Meadow</x:v>
      </x:c>
      <x:c r="F67" s="165" t="str">
        <x:v>#CCFF99</x:v>
      </x:c>
      <x:c r="G67" s="478" t="n">
        <x:f>'Seasons'!F12</x:f>
        <x:v>200</x:v>
      </x:c>
      <x:c r="H67" s="59" t="n">
        <x:f>'Seasons'!G12</x:f>
        <x:v>0.005</x:v>
      </x:c>
      <x:c r="I67" s="13" t="n">
        <x:f>G67*H67</x:f>
        <x:v>1</x:v>
      </x:c>
      <x:c r="J67" s="59" t="n">
        <x:f>I67*'Seasons'!H12</x:f>
        <x:v>0.7</x:v>
      </x:c>
      <x:c r="K67" s="59" t="n">
        <x:f>I67*'Seasons'!I12</x:f>
        <x:v>0.1</x:v>
      </x:c>
      <x:c r="L67" s="13" t="n">
        <x:f>I67-J67-K67</x:f>
        <x:v>0.20000000000000004</x:v>
      </x:c>
      <x:c r="M67" s="478" t="n">
        <x:f>'Seasons'!O12</x:f>
        <x:v>10</x:v>
      </x:c>
      <x:c r="N67" s="478" t="n">
        <x:f>'Seasons'!P12</x:f>
        <x:v>14</x:v>
      </x:c>
      <x:c r="O67" s="61" t="n">
        <x:f>1/G67</x:f>
        <x:v>0.005</x:v>
      </x:c>
      <x:c r="P67" s="13" t="n">
        <x:f>J67/G67</x:f>
        <x:v>0.0034999999999999996</x:v>
      </x:c>
    </x:row>
    <x:row r="68" ht="25" customHeight="1">
      <x:c r="C68" s="31" t="n">
        <x:v>63</x:v>
      </x:c>
      <x:c r="D68" s="31" t="n">
        <x:v>7</x:v>
      </x:c>
      <x:c r="E68" s="31" t="str">
        <x:v>Spring Foliage &amp; Meadow</x:v>
      </x:c>
      <x:c r="F68" s="167" t="str">
        <x:v>#CCFFCC</x:v>
      </x:c>
      <x:c r="G68" s="477" t="n">
        <x:f>'Seasons'!F12</x:f>
        <x:v>200</x:v>
      </x:c>
      <x:c r="H68" s="34" t="n">
        <x:f>'Seasons'!G12</x:f>
        <x:v>0.005</x:v>
      </x:c>
      <x:c r="I68" s="36" t="n">
        <x:f>G68*H68</x:f>
        <x:v>1</x:v>
      </x:c>
      <x:c r="J68" s="34" t="n">
        <x:f>I68*'Seasons'!H12</x:f>
        <x:v>0.7</x:v>
      </x:c>
      <x:c r="K68" s="34" t="n">
        <x:f>I68*'Seasons'!I12</x:f>
        <x:v>0.1</x:v>
      </x:c>
      <x:c r="L68" s="36" t="n">
        <x:f>I68-J68-K68</x:f>
        <x:v>0.20000000000000004</x:v>
      </x:c>
      <x:c r="M68" s="477" t="n">
        <x:f>'Seasons'!O12</x:f>
        <x:v>10</x:v>
      </x:c>
      <x:c r="N68" s="477" t="n">
        <x:f>'Seasons'!P12</x:f>
        <x:v>14</x:v>
      </x:c>
      <x:c r="O68" s="37" t="n">
        <x:f>1/G68</x:f>
        <x:v>0.005</x:v>
      </x:c>
      <x:c r="P68" s="36" t="n">
        <x:f>J68/G68</x:f>
        <x:v>0.0034999999999999996</x:v>
      </x:c>
    </x:row>
    <x:row r="69" ht="25" customHeight="1">
      <x:c r="C69" s="2" t="n">
        <x:v>64</x:v>
      </x:c>
      <x:c r="D69" s="2" t="n">
        <x:v>7</x:v>
      </x:c>
      <x:c r="E69" s="2" t="str">
        <x:v>Spring Foliage &amp; Meadow</x:v>
      </x:c>
      <x:c r="F69" s="169" t="str">
        <x:v>#99CC66</x:v>
      </x:c>
      <x:c r="G69" s="478" t="n">
        <x:f>'Seasons'!F12</x:f>
        <x:v>200</x:v>
      </x:c>
      <x:c r="H69" s="59" t="n">
        <x:f>'Seasons'!G12</x:f>
        <x:v>0.005</x:v>
      </x:c>
      <x:c r="I69" s="13" t="n">
        <x:f>G69*H69</x:f>
        <x:v>1</x:v>
      </x:c>
      <x:c r="J69" s="59" t="n">
        <x:f>I69*'Seasons'!H12</x:f>
        <x:v>0.7</x:v>
      </x:c>
      <x:c r="K69" s="59" t="n">
        <x:f>I69*'Seasons'!I12</x:f>
        <x:v>0.1</x:v>
      </x:c>
      <x:c r="L69" s="13" t="n">
        <x:f>I69-J69-K69</x:f>
        <x:v>0.20000000000000004</x:v>
      </x:c>
      <x:c r="M69" s="478" t="n">
        <x:f>'Seasons'!O12</x:f>
        <x:v>10</x:v>
      </x:c>
      <x:c r="N69" s="478" t="n">
        <x:f>'Seasons'!P12</x:f>
        <x:v>14</x:v>
      </x:c>
      <x:c r="O69" s="61" t="n">
        <x:f>1/G69</x:f>
        <x:v>0.005</x:v>
      </x:c>
      <x:c r="P69" s="13" t="n">
        <x:f>J69/G69</x:f>
        <x:v>0.0034999999999999996</x:v>
      </x:c>
    </x:row>
    <x:row r="70" ht="25" customHeight="1">
      <x:c r="C70" s="31" t="n">
        <x:v>65</x:v>
      </x:c>
      <x:c r="D70" s="31" t="n">
        <x:v>7</x:v>
      </x:c>
      <x:c r="E70" s="31" t="str">
        <x:v>Spring Foliage &amp; Meadow</x:v>
      </x:c>
      <x:c r="F70" s="171" t="str">
        <x:v>#99CC99</x:v>
      </x:c>
      <x:c r="G70" s="477" t="n">
        <x:f>'Seasons'!F12</x:f>
        <x:v>200</x:v>
      </x:c>
      <x:c r="H70" s="34" t="n">
        <x:f>'Seasons'!G12</x:f>
        <x:v>0.005</x:v>
      </x:c>
      <x:c r="I70" s="36" t="n">
        <x:f>G70*H70</x:f>
        <x:v>1</x:v>
      </x:c>
      <x:c r="J70" s="34" t="n">
        <x:f>I70*'Seasons'!H12</x:f>
        <x:v>0.7</x:v>
      </x:c>
      <x:c r="K70" s="34" t="n">
        <x:f>I70*'Seasons'!I12</x:f>
        <x:v>0.1</x:v>
      </x:c>
      <x:c r="L70" s="36" t="n">
        <x:f>I70-J70-K70</x:f>
        <x:v>0.20000000000000004</x:v>
      </x:c>
      <x:c r="M70" s="477" t="n">
        <x:f>'Seasons'!O12</x:f>
        <x:v>10</x:v>
      </x:c>
      <x:c r="N70" s="477" t="n">
        <x:f>'Seasons'!P12</x:f>
        <x:v>14</x:v>
      </x:c>
      <x:c r="O70" s="37" t="n">
        <x:f>1/G70</x:f>
        <x:v>0.005</x:v>
      </x:c>
      <x:c r="P70" s="36" t="n">
        <x:f>J70/G70</x:f>
        <x:v>0.0034999999999999996</x:v>
      </x:c>
    </x:row>
    <x:row r="71" ht="25" customHeight="1">
      <x:c r="C71" s="2" t="n">
        <x:v>66</x:v>
      </x:c>
      <x:c r="D71" s="2" t="n">
        <x:v>7</x:v>
      </x:c>
      <x:c r="E71" s="2" t="str">
        <x:v>Spring Foliage &amp; Meadow</x:v>
      </x:c>
      <x:c r="F71" s="173" t="str">
        <x:v>#66CC33</x:v>
      </x:c>
      <x:c r="G71" s="478" t="n">
        <x:f>'Seasons'!F12</x:f>
        <x:v>200</x:v>
      </x:c>
      <x:c r="H71" s="59" t="n">
        <x:f>'Seasons'!G12</x:f>
        <x:v>0.005</x:v>
      </x:c>
      <x:c r="I71" s="13" t="n">
        <x:f>G71*H71</x:f>
        <x:v>1</x:v>
      </x:c>
      <x:c r="J71" s="59" t="n">
        <x:f>I71*'Seasons'!H12</x:f>
        <x:v>0.7</x:v>
      </x:c>
      <x:c r="K71" s="59" t="n">
        <x:f>I71*'Seasons'!I12</x:f>
        <x:v>0.1</x:v>
      </x:c>
      <x:c r="L71" s="13" t="n">
        <x:f>I71-J71-K71</x:f>
        <x:v>0.20000000000000004</x:v>
      </x:c>
      <x:c r="M71" s="478" t="n">
        <x:f>'Seasons'!O12</x:f>
        <x:v>10</x:v>
      </x:c>
      <x:c r="N71" s="478" t="n">
        <x:f>'Seasons'!P12</x:f>
        <x:v>14</x:v>
      </x:c>
      <x:c r="O71" s="61" t="n">
        <x:f>1/G71</x:f>
        <x:v>0.005</x:v>
      </x:c>
      <x:c r="P71" s="13" t="n">
        <x:f>J71/G71</x:f>
        <x:v>0.0034999999999999996</x:v>
      </x:c>
    </x:row>
    <x:row r="72" ht="25" customHeight="1">
      <x:c r="C72" s="31" t="n">
        <x:v>67</x:v>
      </x:c>
      <x:c r="D72" s="31" t="n">
        <x:v>7</x:v>
      </x:c>
      <x:c r="E72" s="31" t="str">
        <x:v>Spring Foliage &amp; Meadow</x:v>
      </x:c>
      <x:c r="F72" s="175" t="str">
        <x:v>#66CC66</x:v>
      </x:c>
      <x:c r="G72" s="477" t="n">
        <x:f>'Seasons'!F12</x:f>
        <x:v>200</x:v>
      </x:c>
      <x:c r="H72" s="34" t="n">
        <x:f>'Seasons'!G12</x:f>
        <x:v>0.005</x:v>
      </x:c>
      <x:c r="I72" s="36" t="n">
        <x:f>G72*H72</x:f>
        <x:v>1</x:v>
      </x:c>
      <x:c r="J72" s="34" t="n">
        <x:f>I72*'Seasons'!H12</x:f>
        <x:v>0.7</x:v>
      </x:c>
      <x:c r="K72" s="34" t="n">
        <x:f>I72*'Seasons'!I12</x:f>
        <x:v>0.1</x:v>
      </x:c>
      <x:c r="L72" s="36" t="n">
        <x:f>I72-J72-K72</x:f>
        <x:v>0.20000000000000004</x:v>
      </x:c>
      <x:c r="M72" s="477" t="n">
        <x:f>'Seasons'!O12</x:f>
        <x:v>10</x:v>
      </x:c>
      <x:c r="N72" s="477" t="n">
        <x:f>'Seasons'!P12</x:f>
        <x:v>14</x:v>
      </x:c>
      <x:c r="O72" s="37" t="n">
        <x:f>1/G72</x:f>
        <x:v>0.005</x:v>
      </x:c>
      <x:c r="P72" s="36" t="n">
        <x:f>J72/G72</x:f>
        <x:v>0.0034999999999999996</x:v>
      </x:c>
    </x:row>
    <x:row r="73" ht="25" customHeight="1">
      <x:c r="C73" s="2" t="n">
        <x:v>68</x:v>
      </x:c>
      <x:c r="D73" s="2" t="n">
        <x:v>7</x:v>
      </x:c>
      <x:c r="E73" s="2" t="str">
        <x:v>Spring Foliage &amp; Meadow</x:v>
      </x:c>
      <x:c r="F73" s="177" t="str">
        <x:v>#33CC33</x:v>
      </x:c>
      <x:c r="G73" s="478" t="n">
        <x:f>'Seasons'!F12</x:f>
        <x:v>200</x:v>
      </x:c>
      <x:c r="H73" s="59" t="n">
        <x:f>'Seasons'!G12</x:f>
        <x:v>0.005</x:v>
      </x:c>
      <x:c r="I73" s="13" t="n">
        <x:f>G73*H73</x:f>
        <x:v>1</x:v>
      </x:c>
      <x:c r="J73" s="59" t="n">
        <x:f>I73*'Seasons'!H12</x:f>
        <x:v>0.7</x:v>
      </x:c>
      <x:c r="K73" s="59" t="n">
        <x:f>I73*'Seasons'!I12</x:f>
        <x:v>0.1</x:v>
      </x:c>
      <x:c r="L73" s="13" t="n">
        <x:f>I73-J73-K73</x:f>
        <x:v>0.20000000000000004</x:v>
      </x:c>
      <x:c r="M73" s="478" t="n">
        <x:f>'Seasons'!O12</x:f>
        <x:v>10</x:v>
      </x:c>
      <x:c r="N73" s="478" t="n">
        <x:f>'Seasons'!P12</x:f>
        <x:v>14</x:v>
      </x:c>
      <x:c r="O73" s="61" t="n">
        <x:f>1/G73</x:f>
        <x:v>0.005</x:v>
      </x:c>
      <x:c r="P73" s="13" t="n">
        <x:f>J73/G73</x:f>
        <x:v>0.0034999999999999996</x:v>
      </x:c>
    </x:row>
    <x:row r="74" ht="25" customHeight="1">
      <x:c r="C74" s="31" t="n">
        <x:v>69</x:v>
      </x:c>
      <x:c r="D74" s="31" t="n">
        <x:v>7</x:v>
      </x:c>
      <x:c r="E74" s="31" t="str">
        <x:v>Spring Foliage &amp; Meadow</x:v>
      </x:c>
      <x:c r="F74" s="179" t="str">
        <x:v>#339933</x:v>
      </x:c>
      <x:c r="G74" s="477" t="n">
        <x:f>'Seasons'!F12</x:f>
        <x:v>200</x:v>
      </x:c>
      <x:c r="H74" s="34" t="n">
        <x:f>'Seasons'!G12</x:f>
        <x:v>0.005</x:v>
      </x:c>
      <x:c r="I74" s="36" t="n">
        <x:f>G74*H74</x:f>
        <x:v>1</x:v>
      </x:c>
      <x:c r="J74" s="34" t="n">
        <x:f>I74*'Seasons'!H12</x:f>
        <x:v>0.7</x:v>
      </x:c>
      <x:c r="K74" s="34" t="n">
        <x:f>I74*'Seasons'!I12</x:f>
        <x:v>0.1</x:v>
      </x:c>
      <x:c r="L74" s="36" t="n">
        <x:f>I74-J74-K74</x:f>
        <x:v>0.20000000000000004</x:v>
      </x:c>
      <x:c r="M74" s="477" t="n">
        <x:f>'Seasons'!O12</x:f>
        <x:v>10</x:v>
      </x:c>
      <x:c r="N74" s="477" t="n">
        <x:f>'Seasons'!P12</x:f>
        <x:v>14</x:v>
      </x:c>
      <x:c r="O74" s="37" t="n">
        <x:f>1/G74</x:f>
        <x:v>0.005</x:v>
      </x:c>
      <x:c r="P74" s="36" t="n">
        <x:f>J74/G74</x:f>
        <x:v>0.0034999999999999996</x:v>
      </x:c>
    </x:row>
    <x:row r="75" ht="25" customHeight="1">
      <x:c r="C75" s="2" t="n">
        <x:v>70</x:v>
      </x:c>
      <x:c r="D75" s="2" t="n">
        <x:v>7</x:v>
      </x:c>
      <x:c r="E75" s="2" t="str">
        <x:v>Spring Foliage &amp; Meadow</x:v>
      </x:c>
      <x:c r="F75" s="181" t="str">
        <x:v>#336633</x:v>
      </x:c>
      <x:c r="G75" s="478" t="n">
        <x:f>'Seasons'!F12</x:f>
        <x:v>200</x:v>
      </x:c>
      <x:c r="H75" s="59" t="n">
        <x:f>'Seasons'!G12</x:f>
        <x:v>0.005</x:v>
      </x:c>
      <x:c r="I75" s="13" t="n">
        <x:f>G75*H75</x:f>
        <x:v>1</x:v>
      </x:c>
      <x:c r="J75" s="59" t="n">
        <x:f>I75*'Seasons'!H12</x:f>
        <x:v>0.7</x:v>
      </x:c>
      <x:c r="K75" s="59" t="n">
        <x:f>I75*'Seasons'!I12</x:f>
        <x:v>0.1</x:v>
      </x:c>
      <x:c r="L75" s="13" t="n">
        <x:f>I75-J75-K75</x:f>
        <x:v>0.20000000000000004</x:v>
      </x:c>
      <x:c r="M75" s="478" t="n">
        <x:f>'Seasons'!O12</x:f>
        <x:v>10</x:v>
      </x:c>
      <x:c r="N75" s="478" t="n">
        <x:f>'Seasons'!P12</x:f>
        <x:v>14</x:v>
      </x:c>
      <x:c r="O75" s="61" t="n">
        <x:f>1/G75</x:f>
        <x:v>0.005</x:v>
      </x:c>
      <x:c r="P75" s="13" t="n">
        <x:f>J75/G75</x:f>
        <x:v>0.0034999999999999996</x:v>
      </x:c>
    </x:row>
    <x:row r="76" ht="25" customHeight="1">
      <x:c r="C76" s="31" t="n">
        <x:v>71</x:v>
      </x:c>
      <x:c r="D76" s="31" t="n">
        <x:v>8</x:v>
      </x:c>
      <x:c r="E76" s="31" t="str">
        <x:v>Deep Forest &amp; Pine</x:v>
      </x:c>
      <x:c r="F76" s="183" t="str">
        <x:v>#003300</x:v>
      </x:c>
      <x:c r="G76" s="477" t="n">
        <x:f>'Seasons'!F13</x:f>
        <x:v>200</x:v>
      </x:c>
      <x:c r="H76" s="34" t="n">
        <x:f>'Seasons'!G13</x:f>
        <x:v>0.005</x:v>
      </x:c>
      <x:c r="I76" s="36" t="n">
        <x:f>G76*H76</x:f>
        <x:v>1</x:v>
      </x:c>
      <x:c r="J76" s="34" t="n">
        <x:f>I76*'Seasons'!H13</x:f>
        <x:v>0.7</x:v>
      </x:c>
      <x:c r="K76" s="34" t="n">
        <x:f>I76*'Seasons'!I13</x:f>
        <x:v>0.1</x:v>
      </x:c>
      <x:c r="L76" s="36" t="n">
        <x:f>I76-J76-K76</x:f>
        <x:v>0.20000000000000004</x:v>
      </x:c>
      <x:c r="M76" s="477" t="n">
        <x:f>'Seasons'!O13</x:f>
        <x:v>10</x:v>
      </x:c>
      <x:c r="N76" s="477" t="n">
        <x:f>'Seasons'!P13</x:f>
        <x:v>14</x:v>
      </x:c>
      <x:c r="O76" s="37" t="n">
        <x:f>1/G76</x:f>
        <x:v>0.005</x:v>
      </x:c>
      <x:c r="P76" s="36" t="n">
        <x:f>J76/G76</x:f>
        <x:v>0.0034999999999999996</x:v>
      </x:c>
    </x:row>
    <x:row r="77" ht="25" customHeight="1">
      <x:c r="C77" s="2" t="n">
        <x:v>72</x:v>
      </x:c>
      <x:c r="D77" s="2" t="n">
        <x:v>8</x:v>
      </x:c>
      <x:c r="E77" s="2" t="str">
        <x:v>Deep Forest &amp; Pine</x:v>
      </x:c>
      <x:c r="F77" s="185" t="str">
        <x:v>#006600</x:v>
      </x:c>
      <x:c r="G77" s="478" t="n">
        <x:f>'Seasons'!F13</x:f>
        <x:v>200</x:v>
      </x:c>
      <x:c r="H77" s="59" t="n">
        <x:f>'Seasons'!G13</x:f>
        <x:v>0.005</x:v>
      </x:c>
      <x:c r="I77" s="13" t="n">
        <x:f>G77*H77</x:f>
        <x:v>1</x:v>
      </x:c>
      <x:c r="J77" s="59" t="n">
        <x:f>I77*'Seasons'!H13</x:f>
        <x:v>0.7</x:v>
      </x:c>
      <x:c r="K77" s="59" t="n">
        <x:f>I77*'Seasons'!I13</x:f>
        <x:v>0.1</x:v>
      </x:c>
      <x:c r="L77" s="13" t="n">
        <x:f>I77-J77-K77</x:f>
        <x:v>0.20000000000000004</x:v>
      </x:c>
      <x:c r="M77" s="478" t="n">
        <x:f>'Seasons'!O13</x:f>
        <x:v>10</x:v>
      </x:c>
      <x:c r="N77" s="478" t="n">
        <x:f>'Seasons'!P13</x:f>
        <x:v>14</x:v>
      </x:c>
      <x:c r="O77" s="61" t="n">
        <x:f>1/G77</x:f>
        <x:v>0.005</x:v>
      </x:c>
      <x:c r="P77" s="13" t="n">
        <x:f>J77/G77</x:f>
        <x:v>0.0034999999999999996</x:v>
      </x:c>
    </x:row>
    <x:row r="78" ht="25" customHeight="1">
      <x:c r="C78" s="31" t="n">
        <x:v>73</x:v>
      </x:c>
      <x:c r="D78" s="31" t="n">
        <x:v>8</x:v>
      </x:c>
      <x:c r="E78" s="31" t="str">
        <x:v>Deep Forest &amp; Pine</x:v>
      </x:c>
      <x:c r="F78" s="187" t="str">
        <x:v>#009900</x:v>
      </x:c>
      <x:c r="G78" s="477" t="n">
        <x:f>'Seasons'!F13</x:f>
        <x:v>200</x:v>
      </x:c>
      <x:c r="H78" s="34" t="n">
        <x:f>'Seasons'!G13</x:f>
        <x:v>0.005</x:v>
      </x:c>
      <x:c r="I78" s="36" t="n">
        <x:f>G78*H78</x:f>
        <x:v>1</x:v>
      </x:c>
      <x:c r="J78" s="34" t="n">
        <x:f>I78*'Seasons'!H13</x:f>
        <x:v>0.7</x:v>
      </x:c>
      <x:c r="K78" s="34" t="n">
        <x:f>I78*'Seasons'!I13</x:f>
        <x:v>0.1</x:v>
      </x:c>
      <x:c r="L78" s="36" t="n">
        <x:f>I78-J78-K78</x:f>
        <x:v>0.20000000000000004</x:v>
      </x:c>
      <x:c r="M78" s="477" t="n">
        <x:f>'Seasons'!O13</x:f>
        <x:v>10</x:v>
      </x:c>
      <x:c r="N78" s="477" t="n">
        <x:f>'Seasons'!P13</x:f>
        <x:v>14</x:v>
      </x:c>
      <x:c r="O78" s="37" t="n">
        <x:f>1/G78</x:f>
        <x:v>0.005</x:v>
      </x:c>
      <x:c r="P78" s="36" t="n">
        <x:f>J78/G78</x:f>
        <x:v>0.0034999999999999996</x:v>
      </x:c>
    </x:row>
    <x:row r="79" ht="25" customHeight="1">
      <x:c r="C79" s="2" t="n">
        <x:v>74</x:v>
      </x:c>
      <x:c r="D79" s="2" t="n">
        <x:v>8</x:v>
      </x:c>
      <x:c r="E79" s="2" t="str">
        <x:v>Deep Forest &amp; Pine</x:v>
      </x:c>
      <x:c r="F79" s="189" t="str">
        <x:v>#00CC00</x:v>
      </x:c>
      <x:c r="G79" s="478" t="n">
        <x:f>'Seasons'!F13</x:f>
        <x:v>200</x:v>
      </x:c>
      <x:c r="H79" s="59" t="n">
        <x:f>'Seasons'!G13</x:f>
        <x:v>0.005</x:v>
      </x:c>
      <x:c r="I79" s="13" t="n">
        <x:f>G79*H79</x:f>
        <x:v>1</x:v>
      </x:c>
      <x:c r="J79" s="59" t="n">
        <x:f>I79*'Seasons'!H13</x:f>
        <x:v>0.7</x:v>
      </x:c>
      <x:c r="K79" s="59" t="n">
        <x:f>I79*'Seasons'!I13</x:f>
        <x:v>0.1</x:v>
      </x:c>
      <x:c r="L79" s="13" t="n">
        <x:f>I79-J79-K79</x:f>
        <x:v>0.20000000000000004</x:v>
      </x:c>
      <x:c r="M79" s="478" t="n">
        <x:f>'Seasons'!O13</x:f>
        <x:v>10</x:v>
      </x:c>
      <x:c r="N79" s="478" t="n">
        <x:f>'Seasons'!P13</x:f>
        <x:v>14</x:v>
      </x:c>
      <x:c r="O79" s="61" t="n">
        <x:f>1/G79</x:f>
        <x:v>0.005</x:v>
      </x:c>
      <x:c r="P79" s="13" t="n">
        <x:f>J79/G79</x:f>
        <x:v>0.0034999999999999996</x:v>
      </x:c>
    </x:row>
    <x:row r="80" ht="25" customHeight="1">
      <x:c r="C80" s="31" t="n">
        <x:v>75</x:v>
      </x:c>
      <x:c r="D80" s="31" t="n">
        <x:v>8</x:v>
      </x:c>
      <x:c r="E80" s="31" t="str">
        <x:v>Deep Forest &amp; Pine</x:v>
      </x:c>
      <x:c r="F80" s="191" t="str">
        <x:v>#00FF00</x:v>
      </x:c>
      <x:c r="G80" s="477" t="n">
        <x:f>'Seasons'!F13</x:f>
        <x:v>200</x:v>
      </x:c>
      <x:c r="H80" s="34" t="n">
        <x:f>'Seasons'!G13</x:f>
        <x:v>0.005</x:v>
      </x:c>
      <x:c r="I80" s="36" t="n">
        <x:f>G80*H80</x:f>
        <x:v>1</x:v>
      </x:c>
      <x:c r="J80" s="34" t="n">
        <x:f>I80*'Seasons'!H13</x:f>
        <x:v>0.7</x:v>
      </x:c>
      <x:c r="K80" s="34" t="n">
        <x:f>I80*'Seasons'!I13</x:f>
        <x:v>0.1</x:v>
      </x:c>
      <x:c r="L80" s="36" t="n">
        <x:f>I80-J80-K80</x:f>
        <x:v>0.20000000000000004</x:v>
      </x:c>
      <x:c r="M80" s="477" t="n">
        <x:f>'Seasons'!O13</x:f>
        <x:v>10</x:v>
      </x:c>
      <x:c r="N80" s="477" t="n">
        <x:f>'Seasons'!P13</x:f>
        <x:v>14</x:v>
      </x:c>
      <x:c r="O80" s="37" t="n">
        <x:f>1/G80</x:f>
        <x:v>0.005</x:v>
      </x:c>
      <x:c r="P80" s="36" t="n">
        <x:f>J80/G80</x:f>
        <x:v>0.0034999999999999996</x:v>
      </x:c>
    </x:row>
    <x:row r="81" ht="25" customHeight="1">
      <x:c r="C81" s="2" t="n">
        <x:v>76</x:v>
      </x:c>
      <x:c r="D81" s="2" t="n">
        <x:v>8</x:v>
      </x:c>
      <x:c r="E81" s="2" t="str">
        <x:v>Deep Forest &amp; Pine</x:v>
      </x:c>
      <x:c r="F81" s="193" t="str">
        <x:v>#003333</x:v>
      </x:c>
      <x:c r="G81" s="478" t="n">
        <x:f>'Seasons'!F13</x:f>
        <x:v>200</x:v>
      </x:c>
      <x:c r="H81" s="59" t="n">
        <x:f>'Seasons'!G13</x:f>
        <x:v>0.005</x:v>
      </x:c>
      <x:c r="I81" s="13" t="n">
        <x:f>G81*H81</x:f>
        <x:v>1</x:v>
      </x:c>
      <x:c r="J81" s="59" t="n">
        <x:f>I81*'Seasons'!H13</x:f>
        <x:v>0.7</x:v>
      </x:c>
      <x:c r="K81" s="59" t="n">
        <x:f>I81*'Seasons'!I13</x:f>
        <x:v>0.1</x:v>
      </x:c>
      <x:c r="L81" s="13" t="n">
        <x:f>I81-J81-K81</x:f>
        <x:v>0.20000000000000004</x:v>
      </x:c>
      <x:c r="M81" s="478" t="n">
        <x:f>'Seasons'!O13</x:f>
        <x:v>10</x:v>
      </x:c>
      <x:c r="N81" s="478" t="n">
        <x:f>'Seasons'!P13</x:f>
        <x:v>14</x:v>
      </x:c>
      <x:c r="O81" s="61" t="n">
        <x:f>1/G81</x:f>
        <x:v>0.005</x:v>
      </x:c>
      <x:c r="P81" s="13" t="n">
        <x:f>J81/G81</x:f>
        <x:v>0.0034999999999999996</x:v>
      </x:c>
    </x:row>
    <x:row r="82" ht="25" customHeight="1">
      <x:c r="C82" s="31" t="n">
        <x:v>77</x:v>
      </x:c>
      <x:c r="D82" s="31" t="n">
        <x:v>8</x:v>
      </x:c>
      <x:c r="E82" s="31" t="str">
        <x:v>Deep Forest &amp; Pine</x:v>
      </x:c>
      <x:c r="F82" s="195" t="str">
        <x:v>#006633</x:v>
      </x:c>
      <x:c r="G82" s="477" t="n">
        <x:f>'Seasons'!F13</x:f>
        <x:v>200</x:v>
      </x:c>
      <x:c r="H82" s="34" t="n">
        <x:f>'Seasons'!G13</x:f>
        <x:v>0.005</x:v>
      </x:c>
      <x:c r="I82" s="36" t="n">
        <x:f>G82*H82</x:f>
        <x:v>1</x:v>
      </x:c>
      <x:c r="J82" s="34" t="n">
        <x:f>I82*'Seasons'!H13</x:f>
        <x:v>0.7</x:v>
      </x:c>
      <x:c r="K82" s="34" t="n">
        <x:f>I82*'Seasons'!I13</x:f>
        <x:v>0.1</x:v>
      </x:c>
      <x:c r="L82" s="36" t="n">
        <x:f>I82-J82-K82</x:f>
        <x:v>0.20000000000000004</x:v>
      </x:c>
      <x:c r="M82" s="477" t="n">
        <x:f>'Seasons'!O13</x:f>
        <x:v>10</x:v>
      </x:c>
      <x:c r="N82" s="477" t="n">
        <x:f>'Seasons'!P13</x:f>
        <x:v>14</x:v>
      </x:c>
      <x:c r="O82" s="37" t="n">
        <x:f>1/G82</x:f>
        <x:v>0.005</x:v>
      </x:c>
      <x:c r="P82" s="36" t="n">
        <x:f>J82/G82</x:f>
        <x:v>0.0034999999999999996</x:v>
      </x:c>
    </x:row>
    <x:row r="83" ht="25" customHeight="1">
      <x:c r="C83" s="2" t="n">
        <x:v>78</x:v>
      </x:c>
      <x:c r="D83" s="2" t="n">
        <x:v>8</x:v>
      </x:c>
      <x:c r="E83" s="2" t="str">
        <x:v>Deep Forest &amp; Pine</x:v>
      </x:c>
      <x:c r="F83" s="197" t="str">
        <x:v>#009933</x:v>
      </x:c>
      <x:c r="G83" s="478" t="n">
        <x:f>'Seasons'!F13</x:f>
        <x:v>200</x:v>
      </x:c>
      <x:c r="H83" s="59" t="n">
        <x:f>'Seasons'!G13</x:f>
        <x:v>0.005</x:v>
      </x:c>
      <x:c r="I83" s="13" t="n">
        <x:f>G83*H83</x:f>
        <x:v>1</x:v>
      </x:c>
      <x:c r="J83" s="59" t="n">
        <x:f>I83*'Seasons'!H13</x:f>
        <x:v>0.7</x:v>
      </x:c>
      <x:c r="K83" s="59" t="n">
        <x:f>I83*'Seasons'!I13</x:f>
        <x:v>0.1</x:v>
      </x:c>
      <x:c r="L83" s="13" t="n">
        <x:f>I83-J83-K83</x:f>
        <x:v>0.20000000000000004</x:v>
      </x:c>
      <x:c r="M83" s="478" t="n">
        <x:f>'Seasons'!O13</x:f>
        <x:v>10</x:v>
      </x:c>
      <x:c r="N83" s="478" t="n">
        <x:f>'Seasons'!P13</x:f>
        <x:v>14</x:v>
      </x:c>
      <x:c r="O83" s="61" t="n">
        <x:f>1/G83</x:f>
        <x:v>0.005</x:v>
      </x:c>
      <x:c r="P83" s="13" t="n">
        <x:f>J83/G83</x:f>
        <x:v>0.0034999999999999996</x:v>
      </x:c>
    </x:row>
    <x:row r="84" ht="25" customHeight="1">
      <x:c r="C84" s="31" t="n">
        <x:v>79</x:v>
      </x:c>
      <x:c r="D84" s="31" t="n">
        <x:v>8</x:v>
      </x:c>
      <x:c r="E84" s="31" t="str">
        <x:v>Deep Forest &amp; Pine</x:v>
      </x:c>
      <x:c r="F84" s="199" t="str">
        <x:v>#00CC33</x:v>
      </x:c>
      <x:c r="G84" s="477" t="n">
        <x:f>'Seasons'!F13</x:f>
        <x:v>200</x:v>
      </x:c>
      <x:c r="H84" s="34" t="n">
        <x:f>'Seasons'!G13</x:f>
        <x:v>0.005</x:v>
      </x:c>
      <x:c r="I84" s="36" t="n">
        <x:f>G84*H84</x:f>
        <x:v>1</x:v>
      </x:c>
      <x:c r="J84" s="34" t="n">
        <x:f>I84*'Seasons'!H13</x:f>
        <x:v>0.7</x:v>
      </x:c>
      <x:c r="K84" s="34" t="n">
        <x:f>I84*'Seasons'!I13</x:f>
        <x:v>0.1</x:v>
      </x:c>
      <x:c r="L84" s="36" t="n">
        <x:f>I84-J84-K84</x:f>
        <x:v>0.20000000000000004</x:v>
      </x:c>
      <x:c r="M84" s="477" t="n">
        <x:f>'Seasons'!O13</x:f>
        <x:v>10</x:v>
      </x:c>
      <x:c r="N84" s="477" t="n">
        <x:f>'Seasons'!P13</x:f>
        <x:v>14</x:v>
      </x:c>
      <x:c r="O84" s="37" t="n">
        <x:f>1/G84</x:f>
        <x:v>0.005</x:v>
      </x:c>
      <x:c r="P84" s="36" t="n">
        <x:f>J84/G84</x:f>
        <x:v>0.0034999999999999996</x:v>
      </x:c>
    </x:row>
    <x:row r="85" ht="25" customHeight="1">
      <x:c r="C85" s="2" t="n">
        <x:v>80</x:v>
      </x:c>
      <x:c r="D85" s="2" t="n">
        <x:v>8</x:v>
      </x:c>
      <x:c r="E85" s="2" t="str">
        <x:v>Deep Forest &amp; Pine</x:v>
      </x:c>
      <x:c r="F85" s="201" t="str">
        <x:v>#00FF33</x:v>
      </x:c>
      <x:c r="G85" s="478" t="n">
        <x:f>'Seasons'!F13</x:f>
        <x:v>200</x:v>
      </x:c>
      <x:c r="H85" s="59" t="n">
        <x:f>'Seasons'!G13</x:f>
        <x:v>0.005</x:v>
      </x:c>
      <x:c r="I85" s="13" t="n">
        <x:f>G85*H85</x:f>
        <x:v>1</x:v>
      </x:c>
      <x:c r="J85" s="59" t="n">
        <x:f>I85*'Seasons'!H13</x:f>
        <x:v>0.7</x:v>
      </x:c>
      <x:c r="K85" s="59" t="n">
        <x:f>I85*'Seasons'!I13</x:f>
        <x:v>0.1</x:v>
      </x:c>
      <x:c r="L85" s="13" t="n">
        <x:f>I85-J85-K85</x:f>
        <x:v>0.20000000000000004</x:v>
      </x:c>
      <x:c r="M85" s="478" t="n">
        <x:f>'Seasons'!O13</x:f>
        <x:v>10</x:v>
      </x:c>
      <x:c r="N85" s="478" t="n">
        <x:f>'Seasons'!P13</x:f>
        <x:v>14</x:v>
      </x:c>
      <x:c r="O85" s="61" t="n">
        <x:f>1/G85</x:f>
        <x:v>0.005</x:v>
      </x:c>
      <x:c r="P85" s="13" t="n">
        <x:f>J85/G85</x:f>
        <x:v>0.0034999999999999996</x:v>
      </x:c>
    </x:row>
    <x:row r="86" ht="25" customHeight="1">
      <x:c r="C86" s="31" t="n">
        <x:v>81</x:v>
      </x:c>
      <x:c r="D86" s="31" t="n">
        <x:v>9</x:v>
      </x:c>
      <x:c r="E86" s="31" t="str">
        <x:v>Spearmint &amp; Crisp Jade</x:v>
      </x:c>
      <x:c r="F86" s="203" t="str">
        <x:v>#00FF66</x:v>
      </x:c>
      <x:c r="G86" s="477" t="n">
        <x:f>'Seasons'!F14</x:f>
        <x:v>200</x:v>
      </x:c>
      <x:c r="H86" s="34" t="n">
        <x:f>'Seasons'!G14</x:f>
        <x:v>0.005</x:v>
      </x:c>
      <x:c r="I86" s="36" t="n">
        <x:f>G86*H86</x:f>
        <x:v>1</x:v>
      </x:c>
      <x:c r="J86" s="34" t="n">
        <x:f>I86*'Seasons'!H14</x:f>
        <x:v>0.7</x:v>
      </x:c>
      <x:c r="K86" s="34" t="n">
        <x:f>I86*'Seasons'!I14</x:f>
        <x:v>0.1</x:v>
      </x:c>
      <x:c r="L86" s="36" t="n">
        <x:f>I86-J86-K86</x:f>
        <x:v>0.20000000000000004</x:v>
      </x:c>
      <x:c r="M86" s="477" t="n">
        <x:f>'Seasons'!O14</x:f>
        <x:v>10</x:v>
      </x:c>
      <x:c r="N86" s="477" t="n">
        <x:f>'Seasons'!P14</x:f>
        <x:v>14</x:v>
      </x:c>
      <x:c r="O86" s="37" t="n">
        <x:f>1/G86</x:f>
        <x:v>0.005</x:v>
      </x:c>
      <x:c r="P86" s="36" t="n">
        <x:f>J86/G86</x:f>
        <x:v>0.0034999999999999996</x:v>
      </x:c>
    </x:row>
    <x:row r="87" ht="25" customHeight="1">
      <x:c r="C87" s="2" t="n">
        <x:v>82</x:v>
      </x:c>
      <x:c r="D87" s="2" t="n">
        <x:v>9</x:v>
      </x:c>
      <x:c r="E87" s="2" t="str">
        <x:v>Spearmint &amp; Crisp Jade</x:v>
      </x:c>
      <x:c r="F87" s="205" t="str">
        <x:v>#00FF99</x:v>
      </x:c>
      <x:c r="G87" s="478" t="n">
        <x:f>'Seasons'!F14</x:f>
        <x:v>200</x:v>
      </x:c>
      <x:c r="H87" s="59" t="n">
        <x:f>'Seasons'!G14</x:f>
        <x:v>0.005</x:v>
      </x:c>
      <x:c r="I87" s="13" t="n">
        <x:f>G87*H87</x:f>
        <x:v>1</x:v>
      </x:c>
      <x:c r="J87" s="59" t="n">
        <x:f>I87*'Seasons'!H14</x:f>
        <x:v>0.7</x:v>
      </x:c>
      <x:c r="K87" s="59" t="n">
        <x:f>I87*'Seasons'!I14</x:f>
        <x:v>0.1</x:v>
      </x:c>
      <x:c r="L87" s="13" t="n">
        <x:f>I87-J87-K87</x:f>
        <x:v>0.20000000000000004</x:v>
      </x:c>
      <x:c r="M87" s="478" t="n">
        <x:f>'Seasons'!O14</x:f>
        <x:v>10</x:v>
      </x:c>
      <x:c r="N87" s="478" t="n">
        <x:f>'Seasons'!P14</x:f>
        <x:v>14</x:v>
      </x:c>
      <x:c r="O87" s="61" t="n">
        <x:f>1/G87</x:f>
        <x:v>0.005</x:v>
      </x:c>
      <x:c r="P87" s="13" t="n">
        <x:f>J87/G87</x:f>
        <x:v>0.0034999999999999996</x:v>
      </x:c>
    </x:row>
    <x:row r="88" ht="25" customHeight="1">
      <x:c r="C88" s="31" t="n">
        <x:v>83</x:v>
      </x:c>
      <x:c r="D88" s="31" t="n">
        <x:v>9</x:v>
      </x:c>
      <x:c r="E88" s="31" t="str">
        <x:v>Spearmint &amp; Crisp Jade</x:v>
      </x:c>
      <x:c r="F88" s="207" t="str">
        <x:v>#33FF66</x:v>
      </x:c>
      <x:c r="G88" s="477" t="n">
        <x:f>'Seasons'!F14</x:f>
        <x:v>200</x:v>
      </x:c>
      <x:c r="H88" s="34" t="n">
        <x:f>'Seasons'!G14</x:f>
        <x:v>0.005</x:v>
      </x:c>
      <x:c r="I88" s="36" t="n">
        <x:f>G88*H88</x:f>
        <x:v>1</x:v>
      </x:c>
      <x:c r="J88" s="34" t="n">
        <x:f>I88*'Seasons'!H14</x:f>
        <x:v>0.7</x:v>
      </x:c>
      <x:c r="K88" s="34" t="n">
        <x:f>I88*'Seasons'!I14</x:f>
        <x:v>0.1</x:v>
      </x:c>
      <x:c r="L88" s="36" t="n">
        <x:f>I88-J88-K88</x:f>
        <x:v>0.20000000000000004</x:v>
      </x:c>
      <x:c r="M88" s="477" t="n">
        <x:f>'Seasons'!O14</x:f>
        <x:v>10</x:v>
      </x:c>
      <x:c r="N88" s="477" t="n">
        <x:f>'Seasons'!P14</x:f>
        <x:v>14</x:v>
      </x:c>
      <x:c r="O88" s="37" t="n">
        <x:f>1/G88</x:f>
        <x:v>0.005</x:v>
      </x:c>
      <x:c r="P88" s="36" t="n">
        <x:f>J88/G88</x:f>
        <x:v>0.0034999999999999996</x:v>
      </x:c>
    </x:row>
    <x:row r="89" ht="25" customHeight="1">
      <x:c r="C89" s="2" t="n">
        <x:v>84</x:v>
      </x:c>
      <x:c r="D89" s="2" t="n">
        <x:v>9</x:v>
      </x:c>
      <x:c r="E89" s="2" t="str">
        <x:v>Spearmint &amp; Crisp Jade</x:v>
      </x:c>
      <x:c r="F89" s="209" t="str">
        <x:v>#33FF99</x:v>
      </x:c>
      <x:c r="G89" s="478" t="n">
        <x:f>'Seasons'!F14</x:f>
        <x:v>200</x:v>
      </x:c>
      <x:c r="H89" s="59" t="n">
        <x:f>'Seasons'!G14</x:f>
        <x:v>0.005</x:v>
      </x:c>
      <x:c r="I89" s="13" t="n">
        <x:f>G89*H89</x:f>
        <x:v>1</x:v>
      </x:c>
      <x:c r="J89" s="59" t="n">
        <x:f>I89*'Seasons'!H14</x:f>
        <x:v>0.7</x:v>
      </x:c>
      <x:c r="K89" s="59" t="n">
        <x:f>I89*'Seasons'!I14</x:f>
        <x:v>0.1</x:v>
      </x:c>
      <x:c r="L89" s="13" t="n">
        <x:f>I89-J89-K89</x:f>
        <x:v>0.20000000000000004</x:v>
      </x:c>
      <x:c r="M89" s="478" t="n">
        <x:f>'Seasons'!O14</x:f>
        <x:v>10</x:v>
      </x:c>
      <x:c r="N89" s="478" t="n">
        <x:f>'Seasons'!P14</x:f>
        <x:v>14</x:v>
      </x:c>
      <x:c r="O89" s="61" t="n">
        <x:f>1/G89</x:f>
        <x:v>0.005</x:v>
      </x:c>
      <x:c r="P89" s="13" t="n">
        <x:f>J89/G89</x:f>
        <x:v>0.0034999999999999996</x:v>
      </x:c>
    </x:row>
    <x:row r="90" ht="25" customHeight="1">
      <x:c r="C90" s="31" t="n">
        <x:v>85</x:v>
      </x:c>
      <x:c r="D90" s="31" t="n">
        <x:v>9</x:v>
      </x:c>
      <x:c r="E90" s="31" t="str">
        <x:v>Spearmint &amp; Crisp Jade</x:v>
      </x:c>
      <x:c r="F90" s="211" t="str">
        <x:v>#66FF66</x:v>
      </x:c>
      <x:c r="G90" s="477" t="n">
        <x:f>'Seasons'!F14</x:f>
        <x:v>200</x:v>
      </x:c>
      <x:c r="H90" s="34" t="n">
        <x:f>'Seasons'!G14</x:f>
        <x:v>0.005</x:v>
      </x:c>
      <x:c r="I90" s="36" t="n">
        <x:f>G90*H90</x:f>
        <x:v>1</x:v>
      </x:c>
      <x:c r="J90" s="34" t="n">
        <x:f>I90*'Seasons'!H14</x:f>
        <x:v>0.7</x:v>
      </x:c>
      <x:c r="K90" s="34" t="n">
        <x:f>I90*'Seasons'!I14</x:f>
        <x:v>0.1</x:v>
      </x:c>
      <x:c r="L90" s="36" t="n">
        <x:f>I90-J90-K90</x:f>
        <x:v>0.20000000000000004</x:v>
      </x:c>
      <x:c r="M90" s="477" t="n">
        <x:f>'Seasons'!O14</x:f>
        <x:v>10</x:v>
      </x:c>
      <x:c r="N90" s="477" t="n">
        <x:f>'Seasons'!P14</x:f>
        <x:v>14</x:v>
      </x:c>
      <x:c r="O90" s="37" t="n">
        <x:f>1/G90</x:f>
        <x:v>0.005</x:v>
      </x:c>
      <x:c r="P90" s="36" t="n">
        <x:f>J90/G90</x:f>
        <x:v>0.0034999999999999996</x:v>
      </x:c>
    </x:row>
    <x:row r="91" ht="25" customHeight="1">
      <x:c r="C91" s="2" t="n">
        <x:v>86</x:v>
      </x:c>
      <x:c r="D91" s="2" t="n">
        <x:v>9</x:v>
      </x:c>
      <x:c r="E91" s="2" t="str">
        <x:v>Spearmint &amp; Crisp Jade</x:v>
      </x:c>
      <x:c r="F91" s="213" t="str">
        <x:v>#66FF99</x:v>
      </x:c>
      <x:c r="G91" s="478" t="n">
        <x:f>'Seasons'!F14</x:f>
        <x:v>200</x:v>
      </x:c>
      <x:c r="H91" s="59" t="n">
        <x:f>'Seasons'!G14</x:f>
        <x:v>0.005</x:v>
      </x:c>
      <x:c r="I91" s="13" t="n">
        <x:f>G91*H91</x:f>
        <x:v>1</x:v>
      </x:c>
      <x:c r="J91" s="59" t="n">
        <x:f>I91*'Seasons'!H14</x:f>
        <x:v>0.7</x:v>
      </x:c>
      <x:c r="K91" s="59" t="n">
        <x:f>I91*'Seasons'!I14</x:f>
        <x:v>0.1</x:v>
      </x:c>
      <x:c r="L91" s="13" t="n">
        <x:f>I91-J91-K91</x:f>
        <x:v>0.20000000000000004</x:v>
      </x:c>
      <x:c r="M91" s="478" t="n">
        <x:f>'Seasons'!O14</x:f>
        <x:v>10</x:v>
      </x:c>
      <x:c r="N91" s="478" t="n">
        <x:f>'Seasons'!P14</x:f>
        <x:v>14</x:v>
      </x:c>
      <x:c r="O91" s="61" t="n">
        <x:f>1/G91</x:f>
        <x:v>0.005</x:v>
      </x:c>
      <x:c r="P91" s="13" t="n">
        <x:f>J91/G91</x:f>
        <x:v>0.0034999999999999996</x:v>
      </x:c>
    </x:row>
    <x:row r="92" ht="25" customHeight="1">
      <x:c r="C92" s="31" t="n">
        <x:v>87</x:v>
      </x:c>
      <x:c r="D92" s="31" t="n">
        <x:v>9</x:v>
      </x:c>
      <x:c r="E92" s="31" t="str">
        <x:v>Spearmint &amp; Crisp Jade</x:v>
      </x:c>
      <x:c r="F92" s="215" t="str">
        <x:v>#99FF66</x:v>
      </x:c>
      <x:c r="G92" s="477" t="n">
        <x:f>'Seasons'!F14</x:f>
        <x:v>200</x:v>
      </x:c>
      <x:c r="H92" s="34" t="n">
        <x:f>'Seasons'!G14</x:f>
        <x:v>0.005</x:v>
      </x:c>
      <x:c r="I92" s="36" t="n">
        <x:f>G92*H92</x:f>
        <x:v>1</x:v>
      </x:c>
      <x:c r="J92" s="34" t="n">
        <x:f>I92*'Seasons'!H14</x:f>
        <x:v>0.7</x:v>
      </x:c>
      <x:c r="K92" s="34" t="n">
        <x:f>I92*'Seasons'!I14</x:f>
        <x:v>0.1</x:v>
      </x:c>
      <x:c r="L92" s="36" t="n">
        <x:f>I92-J92-K92</x:f>
        <x:v>0.20000000000000004</x:v>
      </x:c>
      <x:c r="M92" s="477" t="n">
        <x:f>'Seasons'!O14</x:f>
        <x:v>10</x:v>
      </x:c>
      <x:c r="N92" s="477" t="n">
        <x:f>'Seasons'!P14</x:f>
        <x:v>14</x:v>
      </x:c>
      <x:c r="O92" s="37" t="n">
        <x:f>1/G92</x:f>
        <x:v>0.005</x:v>
      </x:c>
      <x:c r="P92" s="36" t="n">
        <x:f>J92/G92</x:f>
        <x:v>0.0034999999999999996</x:v>
      </x:c>
    </x:row>
    <x:row r="93" ht="25" customHeight="1">
      <x:c r="C93" s="2" t="n">
        <x:v>88</x:v>
      </x:c>
      <x:c r="D93" s="2" t="n">
        <x:v>9</x:v>
      </x:c>
      <x:c r="E93" s="2" t="str">
        <x:v>Spearmint &amp; Crisp Jade</x:v>
      </x:c>
      <x:c r="F93" s="217" t="str">
        <x:v>#99FF99</x:v>
      </x:c>
      <x:c r="G93" s="478" t="n">
        <x:f>'Seasons'!F14</x:f>
        <x:v>200</x:v>
      </x:c>
      <x:c r="H93" s="59" t="n">
        <x:f>'Seasons'!G14</x:f>
        <x:v>0.005</x:v>
      </x:c>
      <x:c r="I93" s="13" t="n">
        <x:f>G93*H93</x:f>
        <x:v>1</x:v>
      </x:c>
      <x:c r="J93" s="59" t="n">
        <x:f>I93*'Seasons'!H14</x:f>
        <x:v>0.7</x:v>
      </x:c>
      <x:c r="K93" s="59" t="n">
        <x:f>I93*'Seasons'!I14</x:f>
        <x:v>0.1</x:v>
      </x:c>
      <x:c r="L93" s="13" t="n">
        <x:f>I93-J93-K93</x:f>
        <x:v>0.20000000000000004</x:v>
      </x:c>
      <x:c r="M93" s="478" t="n">
        <x:f>'Seasons'!O14</x:f>
        <x:v>10</x:v>
      </x:c>
      <x:c r="N93" s="478" t="n">
        <x:f>'Seasons'!P14</x:f>
        <x:v>14</x:v>
      </x:c>
      <x:c r="O93" s="61" t="n">
        <x:f>1/G93</x:f>
        <x:v>0.005</x:v>
      </x:c>
      <x:c r="P93" s="13" t="n">
        <x:f>J93/G93</x:f>
        <x:v>0.0034999999999999996</x:v>
      </x:c>
    </x:row>
    <x:row r="94" ht="25" customHeight="1">
      <x:c r="C94" s="31" t="n">
        <x:v>89</x:v>
      </x:c>
      <x:c r="D94" s="31" t="n">
        <x:v>9</x:v>
      </x:c>
      <x:c r="E94" s="31" t="str">
        <x:v>Spearmint &amp; Crisp Jade</x:v>
      </x:c>
      <x:c r="F94" s="219" t="str">
        <x:v>#00CC66</x:v>
      </x:c>
      <x:c r="G94" s="477" t="n">
        <x:f>'Seasons'!F14</x:f>
        <x:v>200</x:v>
      </x:c>
      <x:c r="H94" s="34" t="n">
        <x:f>'Seasons'!G14</x:f>
        <x:v>0.005</x:v>
      </x:c>
      <x:c r="I94" s="36" t="n">
        <x:f>G94*H94</x:f>
        <x:v>1</x:v>
      </x:c>
      <x:c r="J94" s="34" t="n">
        <x:f>I94*'Seasons'!H14</x:f>
        <x:v>0.7</x:v>
      </x:c>
      <x:c r="K94" s="34" t="n">
        <x:f>I94*'Seasons'!I14</x:f>
        <x:v>0.1</x:v>
      </x:c>
      <x:c r="L94" s="36" t="n">
        <x:f>I94-J94-K94</x:f>
        <x:v>0.20000000000000004</x:v>
      </x:c>
      <x:c r="M94" s="477" t="n">
        <x:f>'Seasons'!O14</x:f>
        <x:v>10</x:v>
      </x:c>
      <x:c r="N94" s="477" t="n">
        <x:f>'Seasons'!P14</x:f>
        <x:v>14</x:v>
      </x:c>
      <x:c r="O94" s="37" t="n">
        <x:f>1/G94</x:f>
        <x:v>0.005</x:v>
      </x:c>
      <x:c r="P94" s="36" t="n">
        <x:f>J94/G94</x:f>
        <x:v>0.0034999999999999996</x:v>
      </x:c>
    </x:row>
    <x:row r="95" ht="25" customHeight="1">
      <x:c r="C95" s="2" t="n">
        <x:v>90</x:v>
      </x:c>
      <x:c r="D95" s="2" t="n">
        <x:v>9</x:v>
      </x:c>
      <x:c r="E95" s="2" t="str">
        <x:v>Spearmint &amp; Crisp Jade</x:v>
      </x:c>
      <x:c r="F95" s="221" t="str">
        <x:v>#33CC66</x:v>
      </x:c>
      <x:c r="G95" s="478" t="n">
        <x:f>'Seasons'!F14</x:f>
        <x:v>200</x:v>
      </x:c>
      <x:c r="H95" s="59" t="n">
        <x:f>'Seasons'!G14</x:f>
        <x:v>0.005</x:v>
      </x:c>
      <x:c r="I95" s="13" t="n">
        <x:f>G95*H95</x:f>
        <x:v>1</x:v>
      </x:c>
      <x:c r="J95" s="59" t="n">
        <x:f>I95*'Seasons'!H14</x:f>
        <x:v>0.7</x:v>
      </x:c>
      <x:c r="K95" s="59" t="n">
        <x:f>I95*'Seasons'!I14</x:f>
        <x:v>0.1</x:v>
      </x:c>
      <x:c r="L95" s="13" t="n">
        <x:f>I95-J95-K95</x:f>
        <x:v>0.20000000000000004</x:v>
      </x:c>
      <x:c r="M95" s="478" t="n">
        <x:f>'Seasons'!O14</x:f>
        <x:v>10</x:v>
      </x:c>
      <x:c r="N95" s="478" t="n">
        <x:f>'Seasons'!P14</x:f>
        <x:v>14</x:v>
      </x:c>
      <x:c r="O95" s="61" t="n">
        <x:f>1/G95</x:f>
        <x:v>0.005</x:v>
      </x:c>
      <x:c r="P95" s="13" t="n">
        <x:f>J95/G95</x:f>
        <x:v>0.0034999999999999996</x:v>
      </x:c>
    </x:row>
    <x:row r="96" ht="25" customHeight="1">
      <x:c r="C96" s="31" t="n">
        <x:v>91</x:v>
      </x:c>
      <x:c r="D96" s="31" t="n">
        <x:v>10</x:v>
      </x:c>
      <x:c r="E96" s="31" t="str">
        <x:v>Abyssal Waters &amp; Dark Teal</x:v>
      </x:c>
      <x:c r="F96" s="223" t="str">
        <x:v>#003366</x:v>
      </x:c>
      <x:c r="G96" s="477" t="n">
        <x:f>'Seasons'!F15</x:f>
        <x:v>200</x:v>
      </x:c>
      <x:c r="H96" s="34" t="n">
        <x:f>'Seasons'!G15</x:f>
        <x:v>0.005</x:v>
      </x:c>
      <x:c r="I96" s="36" t="n">
        <x:f>G96*H96</x:f>
        <x:v>1</x:v>
      </x:c>
      <x:c r="J96" s="34" t="n">
        <x:f>I96*'Seasons'!H15</x:f>
        <x:v>0.7</x:v>
      </x:c>
      <x:c r="K96" s="34" t="n">
        <x:f>I96*'Seasons'!I15</x:f>
        <x:v>0.1</x:v>
      </x:c>
      <x:c r="L96" s="36" t="n">
        <x:f>I96-J96-K96</x:f>
        <x:v>0.20000000000000004</x:v>
      </x:c>
      <x:c r="M96" s="477" t="n">
        <x:f>'Seasons'!O15</x:f>
        <x:v>10</x:v>
      </x:c>
      <x:c r="N96" s="477" t="n">
        <x:f>'Seasons'!P15</x:f>
        <x:v>14</x:v>
      </x:c>
      <x:c r="O96" s="37" t="n">
        <x:f>1/G96</x:f>
        <x:v>0.005</x:v>
      </x:c>
      <x:c r="P96" s="36" t="n">
        <x:f>J96/G96</x:f>
        <x:v>0.0034999999999999996</x:v>
      </x:c>
    </x:row>
    <x:row r="97" ht="25" customHeight="1">
      <x:c r="C97" s="2" t="n">
        <x:v>92</x:v>
      </x:c>
      <x:c r="D97" s="2" t="n">
        <x:v>10</x:v>
      </x:c>
      <x:c r="E97" s="2" t="str">
        <x:v>Abyssal Waters &amp; Dark Teal</x:v>
      </x:c>
      <x:c r="F97" s="225" t="str">
        <x:v>#006666</x:v>
      </x:c>
      <x:c r="G97" s="478" t="n">
        <x:f>'Seasons'!F15</x:f>
        <x:v>200</x:v>
      </x:c>
      <x:c r="H97" s="59" t="n">
        <x:f>'Seasons'!G15</x:f>
        <x:v>0.005</x:v>
      </x:c>
      <x:c r="I97" s="13" t="n">
        <x:f>G97*H97</x:f>
        <x:v>1</x:v>
      </x:c>
      <x:c r="J97" s="59" t="n">
        <x:f>I97*'Seasons'!H15</x:f>
        <x:v>0.7</x:v>
      </x:c>
      <x:c r="K97" s="59" t="n">
        <x:f>I97*'Seasons'!I15</x:f>
        <x:v>0.1</x:v>
      </x:c>
      <x:c r="L97" s="13" t="n">
        <x:f>I97-J97-K97</x:f>
        <x:v>0.20000000000000004</x:v>
      </x:c>
      <x:c r="M97" s="478" t="n">
        <x:f>'Seasons'!O15</x:f>
        <x:v>10</x:v>
      </x:c>
      <x:c r="N97" s="478" t="n">
        <x:f>'Seasons'!P15</x:f>
        <x:v>14</x:v>
      </x:c>
      <x:c r="O97" s="61" t="n">
        <x:f>1/G97</x:f>
        <x:v>0.005</x:v>
      </x:c>
      <x:c r="P97" s="13" t="n">
        <x:f>J97/G97</x:f>
        <x:v>0.0034999999999999996</x:v>
      </x:c>
    </x:row>
    <x:row r="98" ht="25" customHeight="1">
      <x:c r="C98" s="31" t="n">
        <x:v>93</x:v>
      </x:c>
      <x:c r="D98" s="31" t="n">
        <x:v>10</x:v>
      </x:c>
      <x:c r="E98" s="31" t="str">
        <x:v>Abyssal Waters &amp; Dark Teal</x:v>
      </x:c>
      <x:c r="F98" s="227" t="str">
        <x:v>#006699</x:v>
      </x:c>
      <x:c r="G98" s="477" t="n">
        <x:f>'Seasons'!F15</x:f>
        <x:v>200</x:v>
      </x:c>
      <x:c r="H98" s="34" t="n">
        <x:f>'Seasons'!G15</x:f>
        <x:v>0.005</x:v>
      </x:c>
      <x:c r="I98" s="36" t="n">
        <x:f>G98*H98</x:f>
        <x:v>1</x:v>
      </x:c>
      <x:c r="J98" s="34" t="n">
        <x:f>I98*'Seasons'!H15</x:f>
        <x:v>0.7</x:v>
      </x:c>
      <x:c r="K98" s="34" t="n">
        <x:f>I98*'Seasons'!I15</x:f>
        <x:v>0.1</x:v>
      </x:c>
      <x:c r="L98" s="36" t="n">
        <x:f>I98-J98-K98</x:f>
        <x:v>0.20000000000000004</x:v>
      </x:c>
      <x:c r="M98" s="477" t="n">
        <x:f>'Seasons'!O15</x:f>
        <x:v>10</x:v>
      </x:c>
      <x:c r="N98" s="477" t="n">
        <x:f>'Seasons'!P15</x:f>
        <x:v>14</x:v>
      </x:c>
      <x:c r="O98" s="37" t="n">
        <x:f>1/G98</x:f>
        <x:v>0.005</x:v>
      </x:c>
      <x:c r="P98" s="36" t="n">
        <x:f>J98/G98</x:f>
        <x:v>0.0034999999999999996</x:v>
      </x:c>
    </x:row>
    <x:row r="99" ht="25" customHeight="1">
      <x:c r="C99" s="2" t="n">
        <x:v>94</x:v>
      </x:c>
      <x:c r="D99" s="2" t="n">
        <x:v>10</x:v>
      </x:c>
      <x:c r="E99" s="2" t="str">
        <x:v>Abyssal Waters &amp; Dark Teal</x:v>
      </x:c>
      <x:c r="F99" s="229" t="str">
        <x:v>#009966</x:v>
      </x:c>
      <x:c r="G99" s="478" t="n">
        <x:f>'Seasons'!F15</x:f>
        <x:v>200</x:v>
      </x:c>
      <x:c r="H99" s="59" t="n">
        <x:f>'Seasons'!G15</x:f>
        <x:v>0.005</x:v>
      </x:c>
      <x:c r="I99" s="13" t="n">
        <x:f>G99*H99</x:f>
        <x:v>1</x:v>
      </x:c>
      <x:c r="J99" s="59" t="n">
        <x:f>I99*'Seasons'!H15</x:f>
        <x:v>0.7</x:v>
      </x:c>
      <x:c r="K99" s="59" t="n">
        <x:f>I99*'Seasons'!I15</x:f>
        <x:v>0.1</x:v>
      </x:c>
      <x:c r="L99" s="13" t="n">
        <x:f>I99-J99-K99</x:f>
        <x:v>0.20000000000000004</x:v>
      </x:c>
      <x:c r="M99" s="478" t="n">
        <x:f>'Seasons'!O15</x:f>
        <x:v>10</x:v>
      </x:c>
      <x:c r="N99" s="478" t="n">
        <x:f>'Seasons'!P15</x:f>
        <x:v>14</x:v>
      </x:c>
      <x:c r="O99" s="61" t="n">
        <x:f>1/G99</x:f>
        <x:v>0.005</x:v>
      </x:c>
      <x:c r="P99" s="13" t="n">
        <x:f>J99/G99</x:f>
        <x:v>0.0034999999999999996</x:v>
      </x:c>
    </x:row>
    <x:row r="100" ht="25" customHeight="1">
      <x:c r="C100" s="31" t="n">
        <x:v>95</x:v>
      </x:c>
      <x:c r="D100" s="31" t="n">
        <x:v>10</x:v>
      </x:c>
      <x:c r="E100" s="31" t="str">
        <x:v>Abyssal Waters &amp; Dark Teal</x:v>
      </x:c>
      <x:c r="F100" s="231" t="str">
        <x:v>#009999</x:v>
      </x:c>
      <x:c r="G100" s="477" t="n">
        <x:f>'Seasons'!F15</x:f>
        <x:v>200</x:v>
      </x:c>
      <x:c r="H100" s="34" t="n">
        <x:f>'Seasons'!G15</x:f>
        <x:v>0.005</x:v>
      </x:c>
      <x:c r="I100" s="36" t="n">
        <x:f>G100*H100</x:f>
        <x:v>1</x:v>
      </x:c>
      <x:c r="J100" s="34" t="n">
        <x:f>I100*'Seasons'!H15</x:f>
        <x:v>0.7</x:v>
      </x:c>
      <x:c r="K100" s="34" t="n">
        <x:f>I100*'Seasons'!I15</x:f>
        <x:v>0.1</x:v>
      </x:c>
      <x:c r="L100" s="36" t="n">
        <x:f>I100-J100-K100</x:f>
        <x:v>0.20000000000000004</x:v>
      </x:c>
      <x:c r="M100" s="477" t="n">
        <x:f>'Seasons'!O15</x:f>
        <x:v>10</x:v>
      </x:c>
      <x:c r="N100" s="477" t="n">
        <x:f>'Seasons'!P15</x:f>
        <x:v>14</x:v>
      </x:c>
      <x:c r="O100" s="37" t="n">
        <x:f>1/G100</x:f>
        <x:v>0.005</x:v>
      </x:c>
      <x:c r="P100" s="36" t="n">
        <x:f>J100/G100</x:f>
        <x:v>0.0034999999999999996</x:v>
      </x:c>
    </x:row>
    <x:row r="101" ht="25" customHeight="1">
      <x:c r="C101" s="2" t="n">
        <x:v>96</x:v>
      </x:c>
      <x:c r="D101" s="2" t="n">
        <x:v>10</x:v>
      </x:c>
      <x:c r="E101" s="2" t="str">
        <x:v>Abyssal Waters &amp; Dark Teal</x:v>
      </x:c>
      <x:c r="F101" s="233" t="str">
        <x:v>#336666</x:v>
      </x:c>
      <x:c r="G101" s="478" t="n">
        <x:f>'Seasons'!F15</x:f>
        <x:v>200</x:v>
      </x:c>
      <x:c r="H101" s="59" t="n">
        <x:f>'Seasons'!G15</x:f>
        <x:v>0.005</x:v>
      </x:c>
      <x:c r="I101" s="13" t="n">
        <x:f>G101*H101</x:f>
        <x:v>1</x:v>
      </x:c>
      <x:c r="J101" s="59" t="n">
        <x:f>I101*'Seasons'!H15</x:f>
        <x:v>0.7</x:v>
      </x:c>
      <x:c r="K101" s="59" t="n">
        <x:f>I101*'Seasons'!I15</x:f>
        <x:v>0.1</x:v>
      </x:c>
      <x:c r="L101" s="13" t="n">
        <x:f>I101-J101-K101</x:f>
        <x:v>0.20000000000000004</x:v>
      </x:c>
      <x:c r="M101" s="478" t="n">
        <x:f>'Seasons'!O15</x:f>
        <x:v>10</x:v>
      </x:c>
      <x:c r="N101" s="478" t="n">
        <x:f>'Seasons'!P15</x:f>
        <x:v>14</x:v>
      </x:c>
      <x:c r="O101" s="61" t="n">
        <x:f>1/G101</x:f>
        <x:v>0.005</x:v>
      </x:c>
      <x:c r="P101" s="13" t="n">
        <x:f>J101/G101</x:f>
        <x:v>0.0034999999999999996</x:v>
      </x:c>
    </x:row>
    <x:row r="102" ht="25" customHeight="1">
      <x:c r="C102" s="31" t="n">
        <x:v>97</x:v>
      </x:c>
      <x:c r="D102" s="31" t="n">
        <x:v>10</x:v>
      </x:c>
      <x:c r="E102" s="31" t="str">
        <x:v>Abyssal Waters &amp; Dark Teal</x:v>
      </x:c>
      <x:c r="F102" s="235" t="str">
        <x:v>#339966</x:v>
      </x:c>
      <x:c r="G102" s="477" t="n">
        <x:f>'Seasons'!F15</x:f>
        <x:v>200</x:v>
      </x:c>
      <x:c r="H102" s="34" t="n">
        <x:f>'Seasons'!G15</x:f>
        <x:v>0.005</x:v>
      </x:c>
      <x:c r="I102" s="36" t="n">
        <x:f>G102*H102</x:f>
        <x:v>1</x:v>
      </x:c>
      <x:c r="J102" s="34" t="n">
        <x:f>I102*'Seasons'!H15</x:f>
        <x:v>0.7</x:v>
      </x:c>
      <x:c r="K102" s="34" t="n">
        <x:f>I102*'Seasons'!I15</x:f>
        <x:v>0.1</x:v>
      </x:c>
      <x:c r="L102" s="36" t="n">
        <x:f>I102-J102-K102</x:f>
        <x:v>0.20000000000000004</x:v>
      </x:c>
      <x:c r="M102" s="477" t="n">
        <x:f>'Seasons'!O15</x:f>
        <x:v>10</x:v>
      </x:c>
      <x:c r="N102" s="477" t="n">
        <x:f>'Seasons'!P15</x:f>
        <x:v>14</x:v>
      </x:c>
      <x:c r="O102" s="37" t="n">
        <x:f>1/G102</x:f>
        <x:v>0.005</x:v>
      </x:c>
      <x:c r="P102" s="36" t="n">
        <x:f>J102/G102</x:f>
        <x:v>0.0034999999999999996</x:v>
      </x:c>
    </x:row>
    <x:row r="103" ht="25" customHeight="1">
      <x:c r="C103" s="2" t="n">
        <x:v>98</x:v>
      </x:c>
      <x:c r="D103" s="2" t="n">
        <x:v>10</x:v>
      </x:c>
      <x:c r="E103" s="2" t="str">
        <x:v>Abyssal Waters &amp; Dark Teal</x:v>
      </x:c>
      <x:c r="F103" s="237" t="str">
        <x:v>#339999</x:v>
      </x:c>
      <x:c r="G103" s="478" t="n">
        <x:f>'Seasons'!F15</x:f>
        <x:v>200</x:v>
      </x:c>
      <x:c r="H103" s="59" t="n">
        <x:f>'Seasons'!G15</x:f>
        <x:v>0.005</x:v>
      </x:c>
      <x:c r="I103" s="13" t="n">
        <x:f>G103*H103</x:f>
        <x:v>1</x:v>
      </x:c>
      <x:c r="J103" s="59" t="n">
        <x:f>I103*'Seasons'!H15</x:f>
        <x:v>0.7</x:v>
      </x:c>
      <x:c r="K103" s="59" t="n">
        <x:f>I103*'Seasons'!I15</x:f>
        <x:v>0.1</x:v>
      </x:c>
      <x:c r="L103" s="13" t="n">
        <x:f>I103-J103-K103</x:f>
        <x:v>0.20000000000000004</x:v>
      </x:c>
      <x:c r="M103" s="478" t="n">
        <x:f>'Seasons'!O15</x:f>
        <x:v>10</x:v>
      </x:c>
      <x:c r="N103" s="478" t="n">
        <x:f>'Seasons'!P15</x:f>
        <x:v>14</x:v>
      </x:c>
      <x:c r="O103" s="61" t="n">
        <x:f>1/G103</x:f>
        <x:v>0.005</x:v>
      </x:c>
      <x:c r="P103" s="13" t="n">
        <x:f>J103/G103</x:f>
        <x:v>0.0034999999999999996</x:v>
      </x:c>
    </x:row>
    <x:row r="104" ht="25" customHeight="1">
      <x:c r="C104" s="31" t="n">
        <x:v>99</x:v>
      </x:c>
      <x:c r="D104" s="31" t="n">
        <x:v>10</x:v>
      </x:c>
      <x:c r="E104" s="31" t="str">
        <x:v>Abyssal Waters &amp; Dark Teal</x:v>
      </x:c>
      <x:c r="F104" s="239" t="str">
        <x:v>#003399</x:v>
      </x:c>
      <x:c r="G104" s="477" t="n">
        <x:f>'Seasons'!F15</x:f>
        <x:v>200</x:v>
      </x:c>
      <x:c r="H104" s="34" t="n">
        <x:f>'Seasons'!G15</x:f>
        <x:v>0.005</x:v>
      </x:c>
      <x:c r="I104" s="36" t="n">
        <x:f>G104*H104</x:f>
        <x:v>1</x:v>
      </x:c>
      <x:c r="J104" s="34" t="n">
        <x:f>I104*'Seasons'!H15</x:f>
        <x:v>0.7</x:v>
      </x:c>
      <x:c r="K104" s="34" t="n">
        <x:f>I104*'Seasons'!I15</x:f>
        <x:v>0.1</x:v>
      </x:c>
      <x:c r="L104" s="36" t="n">
        <x:f>I104-J104-K104</x:f>
        <x:v>0.20000000000000004</x:v>
      </x:c>
      <x:c r="M104" s="477" t="n">
        <x:f>'Seasons'!O15</x:f>
        <x:v>10</x:v>
      </x:c>
      <x:c r="N104" s="477" t="n">
        <x:f>'Seasons'!P15</x:f>
        <x:v>14</x:v>
      </x:c>
      <x:c r="O104" s="37" t="n">
        <x:f>1/G104</x:f>
        <x:v>0.005</x:v>
      </x:c>
      <x:c r="P104" s="36" t="n">
        <x:f>J104/G104</x:f>
        <x:v>0.0034999999999999996</x:v>
      </x:c>
    </x:row>
    <x:row r="105" ht="25" customHeight="1">
      <x:c r="C105" s="2" t="n">
        <x:v>100</x:v>
      </x:c>
      <x:c r="D105" s="2" t="n">
        <x:v>10</x:v>
      </x:c>
      <x:c r="E105" s="2" t="str">
        <x:v>Abyssal Waters &amp; Dark Teal</x:v>
      </x:c>
      <x:c r="F105" s="241" t="str">
        <x:v>#0033CC</x:v>
      </x:c>
      <x:c r="G105" s="478" t="n">
        <x:f>'Seasons'!F15</x:f>
        <x:v>200</x:v>
      </x:c>
      <x:c r="H105" s="59" t="n">
        <x:f>'Seasons'!G15</x:f>
        <x:v>0.005</x:v>
      </x:c>
      <x:c r="I105" s="13" t="n">
        <x:f>G105*H105</x:f>
        <x:v>1</x:v>
      </x:c>
      <x:c r="J105" s="59" t="n">
        <x:f>I105*'Seasons'!H15</x:f>
        <x:v>0.7</x:v>
      </x:c>
      <x:c r="K105" s="59" t="n">
        <x:f>I105*'Seasons'!I15</x:f>
        <x:v>0.1</x:v>
      </x:c>
      <x:c r="L105" s="13" t="n">
        <x:f>I105-J105-K105</x:f>
        <x:v>0.20000000000000004</x:v>
      </x:c>
      <x:c r="M105" s="478" t="n">
        <x:f>'Seasons'!O15</x:f>
        <x:v>10</x:v>
      </x:c>
      <x:c r="N105" s="478" t="n">
        <x:f>'Seasons'!P15</x:f>
        <x:v>14</x:v>
      </x:c>
      <x:c r="O105" s="61" t="n">
        <x:f>1/G105</x:f>
        <x:v>0.005</x:v>
      </x:c>
      <x:c r="P105" s="13" t="n">
        <x:f>J105/G105</x:f>
        <x:v>0.0034999999999999996</x:v>
      </x:c>
    </x:row>
    <x:row r="106" ht="25" customHeight="1">
      <x:c r="C106" s="31" t="n">
        <x:v>101</x:v>
      </x:c>
      <x:c r="D106" s="31" t="n">
        <x:v>11</x:v>
      </x:c>
      <x:c r="E106" s="31" t="str">
        <x:v>Electric Cyan &amp; Turquoise</x:v>
      </x:c>
      <x:c r="F106" s="243" t="str">
        <x:v>#00CC99</x:v>
      </x:c>
      <x:c r="G106" s="477" t="n">
        <x:f>'Seasons'!F16</x:f>
        <x:v>200</x:v>
      </x:c>
      <x:c r="H106" s="34" t="n">
        <x:f>'Seasons'!G16</x:f>
        <x:v>0.005</x:v>
      </x:c>
      <x:c r="I106" s="36" t="n">
        <x:f>G106*H106</x:f>
        <x:v>1</x:v>
      </x:c>
      <x:c r="J106" s="34" t="n">
        <x:f>I106*'Seasons'!H16</x:f>
        <x:v>0.7</x:v>
      </x:c>
      <x:c r="K106" s="34" t="n">
        <x:f>I106*'Seasons'!I16</x:f>
        <x:v>0.1</x:v>
      </x:c>
      <x:c r="L106" s="36" t="n">
        <x:f>I106-J106-K106</x:f>
        <x:v>0.20000000000000004</x:v>
      </x:c>
      <x:c r="M106" s="477" t="n">
        <x:f>'Seasons'!O16</x:f>
        <x:v>10</x:v>
      </x:c>
      <x:c r="N106" s="477" t="n">
        <x:f>'Seasons'!P16</x:f>
        <x:v>14</x:v>
      </x:c>
      <x:c r="O106" s="37" t="n">
        <x:f>1/G106</x:f>
        <x:v>0.005</x:v>
      </x:c>
      <x:c r="P106" s="36" t="n">
        <x:f>J106/G106</x:f>
        <x:v>0.0034999999999999996</x:v>
      </x:c>
    </x:row>
    <x:row r="107" ht="25" customHeight="1">
      <x:c r="C107" s="2" t="n">
        <x:v>102</x:v>
      </x:c>
      <x:c r="D107" s="2" t="n">
        <x:v>11</x:v>
      </x:c>
      <x:c r="E107" s="2" t="str">
        <x:v>Electric Cyan &amp; Turquoise</x:v>
      </x:c>
      <x:c r="F107" s="245" t="str">
        <x:v>#00CCCC</x:v>
      </x:c>
      <x:c r="G107" s="478" t="n">
        <x:f>'Seasons'!F16</x:f>
        <x:v>200</x:v>
      </x:c>
      <x:c r="H107" s="59" t="n">
        <x:f>'Seasons'!G16</x:f>
        <x:v>0.005</x:v>
      </x:c>
      <x:c r="I107" s="13" t="n">
        <x:f>G107*H107</x:f>
        <x:v>1</x:v>
      </x:c>
      <x:c r="J107" s="59" t="n">
        <x:f>I107*'Seasons'!H16</x:f>
        <x:v>0.7</x:v>
      </x:c>
      <x:c r="K107" s="59" t="n">
        <x:f>I107*'Seasons'!I16</x:f>
        <x:v>0.1</x:v>
      </x:c>
      <x:c r="L107" s="13" t="n">
        <x:f>I107-J107-K107</x:f>
        <x:v>0.20000000000000004</x:v>
      </x:c>
      <x:c r="M107" s="478" t="n">
        <x:f>'Seasons'!O16</x:f>
        <x:v>10</x:v>
      </x:c>
      <x:c r="N107" s="478" t="n">
        <x:f>'Seasons'!P16</x:f>
        <x:v>14</x:v>
      </x:c>
      <x:c r="O107" s="61" t="n">
        <x:f>1/G107</x:f>
        <x:v>0.005</x:v>
      </x:c>
      <x:c r="P107" s="13" t="n">
        <x:f>J107/G107</x:f>
        <x:v>0.0034999999999999996</x:v>
      </x:c>
    </x:row>
    <x:row r="108" ht="25" customHeight="1">
      <x:c r="C108" s="31" t="n">
        <x:v>103</x:v>
      </x:c>
      <x:c r="D108" s="31" t="n">
        <x:v>11</x:v>
      </x:c>
      <x:c r="E108" s="31" t="str">
        <x:v>Electric Cyan &amp; Turquoise</x:v>
      </x:c>
      <x:c r="F108" s="247" t="str">
        <x:v>#00CCFF</x:v>
      </x:c>
      <x:c r="G108" s="477" t="n">
        <x:f>'Seasons'!F16</x:f>
        <x:v>200</x:v>
      </x:c>
      <x:c r="H108" s="34" t="n">
        <x:f>'Seasons'!G16</x:f>
        <x:v>0.005</x:v>
      </x:c>
      <x:c r="I108" s="36" t="n">
        <x:f>G108*H108</x:f>
        <x:v>1</x:v>
      </x:c>
      <x:c r="J108" s="34" t="n">
        <x:f>I108*'Seasons'!H16</x:f>
        <x:v>0.7</x:v>
      </x:c>
      <x:c r="K108" s="34" t="n">
        <x:f>I108*'Seasons'!I16</x:f>
        <x:v>0.1</x:v>
      </x:c>
      <x:c r="L108" s="36" t="n">
        <x:f>I108-J108-K108</x:f>
        <x:v>0.20000000000000004</x:v>
      </x:c>
      <x:c r="M108" s="477" t="n">
        <x:f>'Seasons'!O16</x:f>
        <x:v>10</x:v>
      </x:c>
      <x:c r="N108" s="477" t="n">
        <x:f>'Seasons'!P16</x:f>
        <x:v>14</x:v>
      </x:c>
      <x:c r="O108" s="37" t="n">
        <x:f>1/G108</x:f>
        <x:v>0.005</x:v>
      </x:c>
      <x:c r="P108" s="36" t="n">
        <x:f>J108/G108</x:f>
        <x:v>0.0034999999999999996</x:v>
      </x:c>
    </x:row>
    <x:row r="109" ht="25" customHeight="1">
      <x:c r="C109" s="2" t="n">
        <x:v>104</x:v>
      </x:c>
      <x:c r="D109" s="2" t="n">
        <x:v>11</x:v>
      </x:c>
      <x:c r="E109" s="2" t="str">
        <x:v>Electric Cyan &amp; Turquoise</x:v>
      </x:c>
      <x:c r="F109" s="249" t="str">
        <x:v>#00FFCC</x:v>
      </x:c>
      <x:c r="G109" s="478" t="n">
        <x:f>'Seasons'!F16</x:f>
        <x:v>200</x:v>
      </x:c>
      <x:c r="H109" s="59" t="n">
        <x:f>'Seasons'!G16</x:f>
        <x:v>0.005</x:v>
      </x:c>
      <x:c r="I109" s="13" t="n">
        <x:f>G109*H109</x:f>
        <x:v>1</x:v>
      </x:c>
      <x:c r="J109" s="59" t="n">
        <x:f>I109*'Seasons'!H16</x:f>
        <x:v>0.7</x:v>
      </x:c>
      <x:c r="K109" s="59" t="n">
        <x:f>I109*'Seasons'!I16</x:f>
        <x:v>0.1</x:v>
      </x:c>
      <x:c r="L109" s="13" t="n">
        <x:f>I109-J109-K109</x:f>
        <x:v>0.20000000000000004</x:v>
      </x:c>
      <x:c r="M109" s="478" t="n">
        <x:f>'Seasons'!O16</x:f>
        <x:v>10</x:v>
      </x:c>
      <x:c r="N109" s="478" t="n">
        <x:f>'Seasons'!P16</x:f>
        <x:v>14</x:v>
      </x:c>
      <x:c r="O109" s="61" t="n">
        <x:f>1/G109</x:f>
        <x:v>0.005</x:v>
      </x:c>
      <x:c r="P109" s="13" t="n">
        <x:f>J109/G109</x:f>
        <x:v>0.0034999999999999996</x:v>
      </x:c>
    </x:row>
    <x:row r="110" ht="25" customHeight="1">
      <x:c r="C110" s="31" t="n">
        <x:v>105</x:v>
      </x:c>
      <x:c r="D110" s="31" t="n">
        <x:v>11</x:v>
      </x:c>
      <x:c r="E110" s="31" t="str">
        <x:v>Electric Cyan &amp; Turquoise</x:v>
      </x:c>
      <x:c r="F110" s="251" t="str">
        <x:v>#00FFFF</x:v>
      </x:c>
      <x:c r="G110" s="477" t="n">
        <x:f>'Seasons'!F16</x:f>
        <x:v>200</x:v>
      </x:c>
      <x:c r="H110" s="34" t="n">
        <x:f>'Seasons'!G16</x:f>
        <x:v>0.005</x:v>
      </x:c>
      <x:c r="I110" s="36" t="n">
        <x:f>G110*H110</x:f>
        <x:v>1</x:v>
      </x:c>
      <x:c r="J110" s="34" t="n">
        <x:f>I110*'Seasons'!H16</x:f>
        <x:v>0.7</x:v>
      </x:c>
      <x:c r="K110" s="34" t="n">
        <x:f>I110*'Seasons'!I16</x:f>
        <x:v>0.1</x:v>
      </x:c>
      <x:c r="L110" s="36" t="n">
        <x:f>I110-J110-K110</x:f>
        <x:v>0.20000000000000004</x:v>
      </x:c>
      <x:c r="M110" s="477" t="n">
        <x:f>'Seasons'!O16</x:f>
        <x:v>10</x:v>
      </x:c>
      <x:c r="N110" s="477" t="n">
        <x:f>'Seasons'!P16</x:f>
        <x:v>14</x:v>
      </x:c>
      <x:c r="O110" s="37" t="n">
        <x:f>1/G110</x:f>
        <x:v>0.005</x:v>
      </x:c>
      <x:c r="P110" s="36" t="n">
        <x:f>J110/G110</x:f>
        <x:v>0.0034999999999999996</x:v>
      </x:c>
    </x:row>
    <x:row r="111" ht="25" customHeight="1">
      <x:c r="C111" s="2" t="n">
        <x:v>106</x:v>
      </x:c>
      <x:c r="D111" s="2" t="n">
        <x:v>11</x:v>
      </x:c>
      <x:c r="E111" s="2" t="str">
        <x:v>Electric Cyan &amp; Turquoise</x:v>
      </x:c>
      <x:c r="F111" s="253" t="str">
        <x:v>#33CCCC</x:v>
      </x:c>
      <x:c r="G111" s="478" t="n">
        <x:f>'Seasons'!F16</x:f>
        <x:v>200</x:v>
      </x:c>
      <x:c r="H111" s="59" t="n">
        <x:f>'Seasons'!G16</x:f>
        <x:v>0.005</x:v>
      </x:c>
      <x:c r="I111" s="13" t="n">
        <x:f>G111*H111</x:f>
        <x:v>1</x:v>
      </x:c>
      <x:c r="J111" s="59" t="n">
        <x:f>I111*'Seasons'!H16</x:f>
        <x:v>0.7</x:v>
      </x:c>
      <x:c r="K111" s="59" t="n">
        <x:f>I111*'Seasons'!I16</x:f>
        <x:v>0.1</x:v>
      </x:c>
      <x:c r="L111" s="13" t="n">
        <x:f>I111-J111-K111</x:f>
        <x:v>0.20000000000000004</x:v>
      </x:c>
      <x:c r="M111" s="478" t="n">
        <x:f>'Seasons'!O16</x:f>
        <x:v>10</x:v>
      </x:c>
      <x:c r="N111" s="478" t="n">
        <x:f>'Seasons'!P16</x:f>
        <x:v>14</x:v>
      </x:c>
      <x:c r="O111" s="61" t="n">
        <x:f>1/G111</x:f>
        <x:v>0.005</x:v>
      </x:c>
      <x:c r="P111" s="13" t="n">
        <x:f>J111/G111</x:f>
        <x:v>0.0034999999999999996</x:v>
      </x:c>
    </x:row>
    <x:row r="112" ht="25" customHeight="1">
      <x:c r="C112" s="31" t="n">
        <x:v>107</x:v>
      </x:c>
      <x:c r="D112" s="31" t="n">
        <x:v>11</x:v>
      </x:c>
      <x:c r="E112" s="31" t="str">
        <x:v>Electric Cyan &amp; Turquoise</x:v>
      </x:c>
      <x:c r="F112" s="255" t="str">
        <x:v>#33CCFF</x:v>
      </x:c>
      <x:c r="G112" s="477" t="n">
        <x:f>'Seasons'!F16</x:f>
        <x:v>200</x:v>
      </x:c>
      <x:c r="H112" s="34" t="n">
        <x:f>'Seasons'!G16</x:f>
        <x:v>0.005</x:v>
      </x:c>
      <x:c r="I112" s="36" t="n">
        <x:f>G112*H112</x:f>
        <x:v>1</x:v>
      </x:c>
      <x:c r="J112" s="34" t="n">
        <x:f>I112*'Seasons'!H16</x:f>
        <x:v>0.7</x:v>
      </x:c>
      <x:c r="K112" s="34" t="n">
        <x:f>I112*'Seasons'!I16</x:f>
        <x:v>0.1</x:v>
      </x:c>
      <x:c r="L112" s="36" t="n">
        <x:f>I112-J112-K112</x:f>
        <x:v>0.20000000000000004</x:v>
      </x:c>
      <x:c r="M112" s="477" t="n">
        <x:f>'Seasons'!O16</x:f>
        <x:v>10</x:v>
      </x:c>
      <x:c r="N112" s="477" t="n">
        <x:f>'Seasons'!P16</x:f>
        <x:v>14</x:v>
      </x:c>
      <x:c r="O112" s="37" t="n">
        <x:f>1/G112</x:f>
        <x:v>0.005</x:v>
      </x:c>
      <x:c r="P112" s="36" t="n">
        <x:f>J112/G112</x:f>
        <x:v>0.0034999999999999996</x:v>
      </x:c>
    </x:row>
    <x:row r="113" ht="25" customHeight="1">
      <x:c r="C113" s="2" t="n">
        <x:v>108</x:v>
      </x:c>
      <x:c r="D113" s="2" t="n">
        <x:v>11</x:v>
      </x:c>
      <x:c r="E113" s="2" t="str">
        <x:v>Electric Cyan &amp; Turquoise</x:v>
      </x:c>
      <x:c r="F113" s="257" t="str">
        <x:v>#33FFCC</x:v>
      </x:c>
      <x:c r="G113" s="478" t="n">
        <x:f>'Seasons'!F16</x:f>
        <x:v>200</x:v>
      </x:c>
      <x:c r="H113" s="59" t="n">
        <x:f>'Seasons'!G16</x:f>
        <x:v>0.005</x:v>
      </x:c>
      <x:c r="I113" s="13" t="n">
        <x:f>G113*H113</x:f>
        <x:v>1</x:v>
      </x:c>
      <x:c r="J113" s="59" t="n">
        <x:f>I113*'Seasons'!H16</x:f>
        <x:v>0.7</x:v>
      </x:c>
      <x:c r="K113" s="59" t="n">
        <x:f>I113*'Seasons'!I16</x:f>
        <x:v>0.1</x:v>
      </x:c>
      <x:c r="L113" s="13" t="n">
        <x:f>I113-J113-K113</x:f>
        <x:v>0.20000000000000004</x:v>
      </x:c>
      <x:c r="M113" s="478" t="n">
        <x:f>'Seasons'!O16</x:f>
        <x:v>10</x:v>
      </x:c>
      <x:c r="N113" s="478" t="n">
        <x:f>'Seasons'!P16</x:f>
        <x:v>14</x:v>
      </x:c>
      <x:c r="O113" s="61" t="n">
        <x:f>1/G113</x:f>
        <x:v>0.005</x:v>
      </x:c>
      <x:c r="P113" s="13" t="n">
        <x:f>J113/G113</x:f>
        <x:v>0.0034999999999999996</x:v>
      </x:c>
    </x:row>
    <x:row r="114" ht="25" customHeight="1">
      <x:c r="C114" s="31" t="n">
        <x:v>109</x:v>
      </x:c>
      <x:c r="D114" s="31" t="n">
        <x:v>11</x:v>
      </x:c>
      <x:c r="E114" s="31" t="str">
        <x:v>Electric Cyan &amp; Turquoise</x:v>
      </x:c>
      <x:c r="F114" s="259" t="str">
        <x:v>#33FFFF</x:v>
      </x:c>
      <x:c r="G114" s="477" t="n">
        <x:f>'Seasons'!F16</x:f>
        <x:v>200</x:v>
      </x:c>
      <x:c r="H114" s="34" t="n">
        <x:f>'Seasons'!G16</x:f>
        <x:v>0.005</x:v>
      </x:c>
      <x:c r="I114" s="36" t="n">
        <x:f>G114*H114</x:f>
        <x:v>1</x:v>
      </x:c>
      <x:c r="J114" s="34" t="n">
        <x:f>I114*'Seasons'!H16</x:f>
        <x:v>0.7</x:v>
      </x:c>
      <x:c r="K114" s="34" t="n">
        <x:f>I114*'Seasons'!I16</x:f>
        <x:v>0.1</x:v>
      </x:c>
      <x:c r="L114" s="36" t="n">
        <x:f>I114-J114-K114</x:f>
        <x:v>0.20000000000000004</x:v>
      </x:c>
      <x:c r="M114" s="477" t="n">
        <x:f>'Seasons'!O16</x:f>
        <x:v>10</x:v>
      </x:c>
      <x:c r="N114" s="477" t="n">
        <x:f>'Seasons'!P16</x:f>
        <x:v>14</x:v>
      </x:c>
      <x:c r="O114" s="37" t="n">
        <x:f>1/G114</x:f>
        <x:v>0.005</x:v>
      </x:c>
      <x:c r="P114" s="36" t="n">
        <x:f>J114/G114</x:f>
        <x:v>0.0034999999999999996</x:v>
      </x:c>
    </x:row>
    <x:row r="115" ht="25" customHeight="1">
      <x:c r="C115" s="2" t="n">
        <x:v>110</x:v>
      </x:c>
      <x:c r="D115" s="2" t="n">
        <x:v>11</x:v>
      </x:c>
      <x:c r="E115" s="2" t="str">
        <x:v>Electric Cyan &amp; Turquoise</x:v>
      </x:c>
      <x:c r="F115" s="261" t="str">
        <x:v>#66FFFF</x:v>
      </x:c>
      <x:c r="G115" s="478" t="n">
        <x:f>'Seasons'!F16</x:f>
        <x:v>200</x:v>
      </x:c>
      <x:c r="H115" s="59" t="n">
        <x:f>'Seasons'!G16</x:f>
        <x:v>0.005</x:v>
      </x:c>
      <x:c r="I115" s="13" t="n">
        <x:f>G115*H115</x:f>
        <x:v>1</x:v>
      </x:c>
      <x:c r="J115" s="59" t="n">
        <x:f>I115*'Seasons'!H16</x:f>
        <x:v>0.7</x:v>
      </x:c>
      <x:c r="K115" s="59" t="n">
        <x:f>I115*'Seasons'!I16</x:f>
        <x:v>0.1</x:v>
      </x:c>
      <x:c r="L115" s="13" t="n">
        <x:f>I115-J115-K115</x:f>
        <x:v>0.20000000000000004</x:v>
      </x:c>
      <x:c r="M115" s="478" t="n">
        <x:f>'Seasons'!O16</x:f>
        <x:v>10</x:v>
      </x:c>
      <x:c r="N115" s="478" t="n">
        <x:f>'Seasons'!P16</x:f>
        <x:v>14</x:v>
      </x:c>
      <x:c r="O115" s="61" t="n">
        <x:f>1/G115</x:f>
        <x:v>0.005</x:v>
      </x:c>
      <x:c r="P115" s="13" t="n">
        <x:f>J115/G115</x:f>
        <x:v>0.0034999999999999996</x:v>
      </x:c>
    </x:row>
    <x:row r="116" ht="25" customHeight="1">
      <x:c r="C116" s="31" t="n">
        <x:v>111</x:v>
      </x:c>
      <x:c r="D116" s="31" t="n">
        <x:v>12</x:v>
      </x:c>
      <x:c r="E116" s="31" t="str">
        <x:v>Glacier &amp; Pure Aquamarine</x:v>
      </x:c>
      <x:c r="F116" s="263" t="str">
        <x:v>#66CCCC</x:v>
      </x:c>
      <x:c r="G116" s="477" t="n">
        <x:f>'Seasons'!F17</x:f>
        <x:v>200</x:v>
      </x:c>
      <x:c r="H116" s="34" t="n">
        <x:f>'Seasons'!G17</x:f>
        <x:v>0.005</x:v>
      </x:c>
      <x:c r="I116" s="36" t="n">
        <x:f>G116*H116</x:f>
        <x:v>1</x:v>
      </x:c>
      <x:c r="J116" s="34" t="n">
        <x:f>I116*'Seasons'!H17</x:f>
        <x:v>0.7</x:v>
      </x:c>
      <x:c r="K116" s="34" t="n">
        <x:f>I116*'Seasons'!I17</x:f>
        <x:v>0.1</x:v>
      </x:c>
      <x:c r="L116" s="36" t="n">
        <x:f>I116-J116-K116</x:f>
        <x:v>0.20000000000000004</x:v>
      </x:c>
      <x:c r="M116" s="477" t="n">
        <x:f>'Seasons'!O17</x:f>
        <x:v>10</x:v>
      </x:c>
      <x:c r="N116" s="477" t="n">
        <x:f>'Seasons'!P17</x:f>
        <x:v>14</x:v>
      </x:c>
      <x:c r="O116" s="37" t="n">
        <x:f>1/G116</x:f>
        <x:v>0.005</x:v>
      </x:c>
      <x:c r="P116" s="36" t="n">
        <x:f>J116/G116</x:f>
        <x:v>0.0034999999999999996</x:v>
      </x:c>
    </x:row>
    <x:row r="117" ht="25" customHeight="1">
      <x:c r="C117" s="2" t="n">
        <x:v>112</x:v>
      </x:c>
      <x:c r="D117" s="2" t="n">
        <x:v>12</x:v>
      </x:c>
      <x:c r="E117" s="2" t="str">
        <x:v>Glacier &amp; Pure Aquamarine</x:v>
      </x:c>
      <x:c r="F117" s="265" t="str">
        <x:v>#66CCFF</x:v>
      </x:c>
      <x:c r="G117" s="478" t="n">
        <x:f>'Seasons'!F17</x:f>
        <x:v>200</x:v>
      </x:c>
      <x:c r="H117" s="59" t="n">
        <x:f>'Seasons'!G17</x:f>
        <x:v>0.005</x:v>
      </x:c>
      <x:c r="I117" s="13" t="n">
        <x:f>G117*H117</x:f>
        <x:v>1</x:v>
      </x:c>
      <x:c r="J117" s="59" t="n">
        <x:f>I117*'Seasons'!H17</x:f>
        <x:v>0.7</x:v>
      </x:c>
      <x:c r="K117" s="59" t="n">
        <x:f>I117*'Seasons'!I17</x:f>
        <x:v>0.1</x:v>
      </x:c>
      <x:c r="L117" s="13" t="n">
        <x:f>I117-J117-K117</x:f>
        <x:v>0.20000000000000004</x:v>
      </x:c>
      <x:c r="M117" s="478" t="n">
        <x:f>'Seasons'!O17</x:f>
        <x:v>10</x:v>
      </x:c>
      <x:c r="N117" s="478" t="n">
        <x:f>'Seasons'!P17</x:f>
        <x:v>14</x:v>
      </x:c>
      <x:c r="O117" s="61" t="n">
        <x:f>1/G117</x:f>
        <x:v>0.005</x:v>
      </x:c>
      <x:c r="P117" s="13" t="n">
        <x:f>J117/G117</x:f>
        <x:v>0.0034999999999999996</x:v>
      </x:c>
    </x:row>
    <x:row r="118" ht="25" customHeight="1">
      <x:c r="C118" s="31" t="n">
        <x:v>113</x:v>
      </x:c>
      <x:c r="D118" s="31" t="n">
        <x:v>12</x:v>
      </x:c>
      <x:c r="E118" s="31" t="str">
        <x:v>Glacier &amp; Pure Aquamarine</x:v>
      </x:c>
      <x:c r="F118" s="267" t="str">
        <x:v>#66FFCC</x:v>
      </x:c>
      <x:c r="G118" s="477" t="n">
        <x:f>'Seasons'!F17</x:f>
        <x:v>200</x:v>
      </x:c>
      <x:c r="H118" s="34" t="n">
        <x:f>'Seasons'!G17</x:f>
        <x:v>0.005</x:v>
      </x:c>
      <x:c r="I118" s="36" t="n">
        <x:f>G118*H118</x:f>
        <x:v>1</x:v>
      </x:c>
      <x:c r="J118" s="34" t="n">
        <x:f>I118*'Seasons'!H17</x:f>
        <x:v>0.7</x:v>
      </x:c>
      <x:c r="K118" s="34" t="n">
        <x:f>I118*'Seasons'!I17</x:f>
        <x:v>0.1</x:v>
      </x:c>
      <x:c r="L118" s="36" t="n">
        <x:f>I118-J118-K118</x:f>
        <x:v>0.20000000000000004</x:v>
      </x:c>
      <x:c r="M118" s="477" t="n">
        <x:f>'Seasons'!O17</x:f>
        <x:v>10</x:v>
      </x:c>
      <x:c r="N118" s="477" t="n">
        <x:f>'Seasons'!P17</x:f>
        <x:v>14</x:v>
      </x:c>
      <x:c r="O118" s="37" t="n">
        <x:f>1/G118</x:f>
        <x:v>0.005</x:v>
      </x:c>
      <x:c r="P118" s="36" t="n">
        <x:f>J118/G118</x:f>
        <x:v>0.0034999999999999996</x:v>
      </x:c>
    </x:row>
    <x:row r="119" ht="25" customHeight="1">
      <x:c r="C119" s="2" t="n">
        <x:v>114</x:v>
      </x:c>
      <x:c r="D119" s="2" t="n">
        <x:v>12</x:v>
      </x:c>
      <x:c r="E119" s="2" t="str">
        <x:v>Glacier &amp; Pure Aquamarine</x:v>
      </x:c>
      <x:c r="F119" s="269" t="str">
        <x:v>#99CCCC</x:v>
      </x:c>
      <x:c r="G119" s="478" t="n">
        <x:f>'Seasons'!F17</x:f>
        <x:v>200</x:v>
      </x:c>
      <x:c r="H119" s="59" t="n">
        <x:f>'Seasons'!G17</x:f>
        <x:v>0.005</x:v>
      </x:c>
      <x:c r="I119" s="13" t="n">
        <x:f>G119*H119</x:f>
        <x:v>1</x:v>
      </x:c>
      <x:c r="J119" s="59" t="n">
        <x:f>I119*'Seasons'!H17</x:f>
        <x:v>0.7</x:v>
      </x:c>
      <x:c r="K119" s="59" t="n">
        <x:f>I119*'Seasons'!I17</x:f>
        <x:v>0.1</x:v>
      </x:c>
      <x:c r="L119" s="13" t="n">
        <x:f>I119-J119-K119</x:f>
        <x:v>0.20000000000000004</x:v>
      </x:c>
      <x:c r="M119" s="478" t="n">
        <x:f>'Seasons'!O17</x:f>
        <x:v>10</x:v>
      </x:c>
      <x:c r="N119" s="478" t="n">
        <x:f>'Seasons'!P17</x:f>
        <x:v>14</x:v>
      </x:c>
      <x:c r="O119" s="61" t="n">
        <x:f>1/G119</x:f>
        <x:v>0.005</x:v>
      </x:c>
      <x:c r="P119" s="13" t="n">
        <x:f>J119/G119</x:f>
        <x:v>0.0034999999999999996</x:v>
      </x:c>
    </x:row>
    <x:row r="120" ht="25" customHeight="1">
      <x:c r="C120" s="31" t="n">
        <x:v>115</x:v>
      </x:c>
      <x:c r="D120" s="31" t="n">
        <x:v>12</x:v>
      </x:c>
      <x:c r="E120" s="31" t="str">
        <x:v>Glacier &amp; Pure Aquamarine</x:v>
      </x:c>
      <x:c r="F120" s="271" t="str">
        <x:v>#99CCFF</x:v>
      </x:c>
      <x:c r="G120" s="477" t="n">
        <x:f>'Seasons'!F17</x:f>
        <x:v>200</x:v>
      </x:c>
      <x:c r="H120" s="34" t="n">
        <x:f>'Seasons'!G17</x:f>
        <x:v>0.005</x:v>
      </x:c>
      <x:c r="I120" s="36" t="n">
        <x:f>G120*H120</x:f>
        <x:v>1</x:v>
      </x:c>
      <x:c r="J120" s="34" t="n">
        <x:f>I120*'Seasons'!H17</x:f>
        <x:v>0.7</x:v>
      </x:c>
      <x:c r="K120" s="34" t="n">
        <x:f>I120*'Seasons'!I17</x:f>
        <x:v>0.1</x:v>
      </x:c>
      <x:c r="L120" s="36" t="n">
        <x:f>I120-J120-K120</x:f>
        <x:v>0.20000000000000004</x:v>
      </x:c>
      <x:c r="M120" s="477" t="n">
        <x:f>'Seasons'!O17</x:f>
        <x:v>10</x:v>
      </x:c>
      <x:c r="N120" s="477" t="n">
        <x:f>'Seasons'!P17</x:f>
        <x:v>14</x:v>
      </x:c>
      <x:c r="O120" s="37" t="n">
        <x:f>1/G120</x:f>
        <x:v>0.005</x:v>
      </x:c>
      <x:c r="P120" s="36" t="n">
        <x:f>J120/G120</x:f>
        <x:v>0.0034999999999999996</x:v>
      </x:c>
    </x:row>
    <x:row r="121" ht="25" customHeight="1">
      <x:c r="C121" s="2" t="n">
        <x:v>116</x:v>
      </x:c>
      <x:c r="D121" s="2" t="n">
        <x:v>12</x:v>
      </x:c>
      <x:c r="E121" s="2" t="str">
        <x:v>Glacier &amp; Pure Aquamarine</x:v>
      </x:c>
      <x:c r="F121" s="273" t="str">
        <x:v>#99FFCC</x:v>
      </x:c>
      <x:c r="G121" s="478" t="n">
        <x:f>'Seasons'!F17</x:f>
        <x:v>200</x:v>
      </x:c>
      <x:c r="H121" s="59" t="n">
        <x:f>'Seasons'!G17</x:f>
        <x:v>0.005</x:v>
      </x:c>
      <x:c r="I121" s="13" t="n">
        <x:f>G121*H121</x:f>
        <x:v>1</x:v>
      </x:c>
      <x:c r="J121" s="59" t="n">
        <x:f>I121*'Seasons'!H17</x:f>
        <x:v>0.7</x:v>
      </x:c>
      <x:c r="K121" s="59" t="n">
        <x:f>I121*'Seasons'!I17</x:f>
        <x:v>0.1</x:v>
      </x:c>
      <x:c r="L121" s="13" t="n">
        <x:f>I121-J121-K121</x:f>
        <x:v>0.20000000000000004</x:v>
      </x:c>
      <x:c r="M121" s="478" t="n">
        <x:f>'Seasons'!O17</x:f>
        <x:v>10</x:v>
      </x:c>
      <x:c r="N121" s="478" t="n">
        <x:f>'Seasons'!P17</x:f>
        <x:v>14</x:v>
      </x:c>
      <x:c r="O121" s="61" t="n">
        <x:f>1/G121</x:f>
        <x:v>0.005</x:v>
      </x:c>
      <x:c r="P121" s="13" t="n">
        <x:f>J121/G121</x:f>
        <x:v>0.0034999999999999996</x:v>
      </x:c>
    </x:row>
    <x:row r="122" ht="25" customHeight="1">
      <x:c r="C122" s="31" t="n">
        <x:v>117</x:v>
      </x:c>
      <x:c r="D122" s="31" t="n">
        <x:v>12</x:v>
      </x:c>
      <x:c r="E122" s="31" t="str">
        <x:v>Glacier &amp; Pure Aquamarine</x:v>
      </x:c>
      <x:c r="F122" s="275" t="str">
        <x:v>#99FFFF</x:v>
      </x:c>
      <x:c r="G122" s="477" t="n">
        <x:f>'Seasons'!F17</x:f>
        <x:v>200</x:v>
      </x:c>
      <x:c r="H122" s="34" t="n">
        <x:f>'Seasons'!G17</x:f>
        <x:v>0.005</x:v>
      </x:c>
      <x:c r="I122" s="36" t="n">
        <x:f>G122*H122</x:f>
        <x:v>1</x:v>
      </x:c>
      <x:c r="J122" s="34" t="n">
        <x:f>I122*'Seasons'!H17</x:f>
        <x:v>0.7</x:v>
      </x:c>
      <x:c r="K122" s="34" t="n">
        <x:f>I122*'Seasons'!I17</x:f>
        <x:v>0.1</x:v>
      </x:c>
      <x:c r="L122" s="36" t="n">
        <x:f>I122-J122-K122</x:f>
        <x:v>0.20000000000000004</x:v>
      </x:c>
      <x:c r="M122" s="477" t="n">
        <x:f>'Seasons'!O17</x:f>
        <x:v>10</x:v>
      </x:c>
      <x:c r="N122" s="477" t="n">
        <x:f>'Seasons'!P17</x:f>
        <x:v>14</x:v>
      </x:c>
      <x:c r="O122" s="37" t="n">
        <x:f>1/G122</x:f>
        <x:v>0.005</x:v>
      </x:c>
      <x:c r="P122" s="36" t="n">
        <x:f>J122/G122</x:f>
        <x:v>0.0034999999999999996</x:v>
      </x:c>
    </x:row>
    <x:row r="123" ht="25" customHeight="1">
      <x:c r="C123" s="2" t="n">
        <x:v>118</x:v>
      </x:c>
      <x:c r="D123" s="2" t="n">
        <x:v>12</x:v>
      </x:c>
      <x:c r="E123" s="2" t="str">
        <x:v>Glacier &amp; Pure Aquamarine</x:v>
      </x:c>
      <x:c r="F123" s="277" t="str">
        <x:v>#CCFFFF</x:v>
      </x:c>
      <x:c r="G123" s="478" t="n">
        <x:f>'Seasons'!F17</x:f>
        <x:v>200</x:v>
      </x:c>
      <x:c r="H123" s="59" t="n">
        <x:f>'Seasons'!G17</x:f>
        <x:v>0.005</x:v>
      </x:c>
      <x:c r="I123" s="13" t="n">
        <x:f>G123*H123</x:f>
        <x:v>1</x:v>
      </x:c>
      <x:c r="J123" s="59" t="n">
        <x:f>I123*'Seasons'!H17</x:f>
        <x:v>0.7</x:v>
      </x:c>
      <x:c r="K123" s="59" t="n">
        <x:f>I123*'Seasons'!I17</x:f>
        <x:v>0.1</x:v>
      </x:c>
      <x:c r="L123" s="13" t="n">
        <x:f>I123-J123-K123</x:f>
        <x:v>0.20000000000000004</x:v>
      </x:c>
      <x:c r="M123" s="478" t="n">
        <x:f>'Seasons'!O17</x:f>
        <x:v>10</x:v>
      </x:c>
      <x:c r="N123" s="478" t="n">
        <x:f>'Seasons'!P17</x:f>
        <x:v>14</x:v>
      </x:c>
      <x:c r="O123" s="61" t="n">
        <x:f>1/G123</x:f>
        <x:v>0.005</x:v>
      </x:c>
      <x:c r="P123" s="13" t="n">
        <x:f>J123/G123</x:f>
        <x:v>0.0034999999999999996</x:v>
      </x:c>
    </x:row>
    <x:row r="124" ht="25" customHeight="1">
      <x:c r="C124" s="31" t="n">
        <x:v>119</x:v>
      </x:c>
      <x:c r="D124" s="31" t="n">
        <x:v>12</x:v>
      </x:c>
      <x:c r="E124" s="31" t="str">
        <x:v>Glacier &amp; Pure Aquamarine</x:v>
      </x:c>
      <x:c r="F124" s="279" t="str">
        <x:v>#3399CC</x:v>
      </x:c>
      <x:c r="G124" s="477" t="n">
        <x:f>'Seasons'!F17</x:f>
        <x:v>200</x:v>
      </x:c>
      <x:c r="H124" s="34" t="n">
        <x:f>'Seasons'!G17</x:f>
        <x:v>0.005</x:v>
      </x:c>
      <x:c r="I124" s="36" t="n">
        <x:f>G124*H124</x:f>
        <x:v>1</x:v>
      </x:c>
      <x:c r="J124" s="34" t="n">
        <x:f>I124*'Seasons'!H17</x:f>
        <x:v>0.7</x:v>
      </x:c>
      <x:c r="K124" s="34" t="n">
        <x:f>I124*'Seasons'!I17</x:f>
        <x:v>0.1</x:v>
      </x:c>
      <x:c r="L124" s="36" t="n">
        <x:f>I124-J124-K124</x:f>
        <x:v>0.20000000000000004</x:v>
      </x:c>
      <x:c r="M124" s="477" t="n">
        <x:f>'Seasons'!O17</x:f>
        <x:v>10</x:v>
      </x:c>
      <x:c r="N124" s="477" t="n">
        <x:f>'Seasons'!P17</x:f>
        <x:v>14</x:v>
      </x:c>
      <x:c r="O124" s="37" t="n">
        <x:f>1/G124</x:f>
        <x:v>0.005</x:v>
      </x:c>
      <x:c r="P124" s="36" t="n">
        <x:f>J124/G124</x:f>
        <x:v>0.0034999999999999996</x:v>
      </x:c>
    </x:row>
    <x:row r="125" ht="25" customHeight="1">
      <x:c r="C125" s="2" t="n">
        <x:v>120</x:v>
      </x:c>
      <x:c r="D125" s="2" t="n">
        <x:v>12</x:v>
      </x:c>
      <x:c r="E125" s="2" t="str">
        <x:v>Glacier &amp; Pure Aquamarine</x:v>
      </x:c>
      <x:c r="F125" s="281" t="str">
        <x:v>#336699</x:v>
      </x:c>
      <x:c r="G125" s="478" t="n">
        <x:f>'Seasons'!F17</x:f>
        <x:v>200</x:v>
      </x:c>
      <x:c r="H125" s="59" t="n">
        <x:f>'Seasons'!G17</x:f>
        <x:v>0.005</x:v>
      </x:c>
      <x:c r="I125" s="13" t="n">
        <x:f>G125*H125</x:f>
        <x:v>1</x:v>
      </x:c>
      <x:c r="J125" s="59" t="n">
        <x:f>I125*'Seasons'!H17</x:f>
        <x:v>0.7</x:v>
      </x:c>
      <x:c r="K125" s="59" t="n">
        <x:f>I125*'Seasons'!I17</x:f>
        <x:v>0.1</x:v>
      </x:c>
      <x:c r="L125" s="13" t="n">
        <x:f>I125-J125-K125</x:f>
        <x:v>0.20000000000000004</x:v>
      </x:c>
      <x:c r="M125" s="478" t="n">
        <x:f>'Seasons'!O17</x:f>
        <x:v>10</x:v>
      </x:c>
      <x:c r="N125" s="478" t="n">
        <x:f>'Seasons'!P17</x:f>
        <x:v>14</x:v>
      </x:c>
      <x:c r="O125" s="61" t="n">
        <x:f>1/G125</x:f>
        <x:v>0.005</x:v>
      </x:c>
      <x:c r="P125" s="13" t="n">
        <x:f>J125/G125</x:f>
        <x:v>0.0034999999999999996</x:v>
      </x:c>
    </x:row>
    <x:row r="126" ht="25" customHeight="1">
      <x:c r="C126" s="31" t="n">
        <x:v>121</x:v>
      </x:c>
      <x:c r="D126" s="31" t="n">
        <x:v>13</x:v>
      </x:c>
      <x:c r="E126" s="31" t="str">
        <x:v>Cerulean &amp; Sky Blue</x:v>
      </x:c>
      <x:c r="F126" s="283" t="str">
        <x:v>#0066CC</x:v>
      </x:c>
      <x:c r="G126" s="477" t="n">
        <x:f>'Seasons'!F18</x:f>
        <x:v>300</x:v>
      </x:c>
      <x:c r="H126" s="34" t="n">
        <x:f>'Seasons'!G18</x:f>
        <x:v>0.005</x:v>
      </x:c>
      <x:c r="I126" s="36" t="n">
        <x:f>G126*H126</x:f>
        <x:v>1.5</x:v>
      </x:c>
      <x:c r="J126" s="34" t="n">
        <x:f>I126*'Seasons'!H18</x:f>
        <x:v>1.0499999999999998</x:v>
      </x:c>
      <x:c r="K126" s="34" t="n">
        <x:f>I126*'Seasons'!I18</x:f>
        <x:v>0.15000000000000002</x:v>
      </x:c>
      <x:c r="L126" s="36" t="n">
        <x:f>I126-J126-K126</x:f>
        <x:v>0.30000000000000016</x:v>
      </x:c>
      <x:c r="M126" s="477" t="n">
        <x:f>'Seasons'!O18</x:f>
        <x:v>10</x:v>
      </x:c>
      <x:c r="N126" s="477" t="n">
        <x:f>'Seasons'!P18</x:f>
        <x:v>14</x:v>
      </x:c>
      <x:c r="O126" s="37" t="n">
        <x:f>1/G126</x:f>
        <x:v>0.0033333333333333335</x:v>
      </x:c>
      <x:c r="P126" s="36" t="n">
        <x:f>J126/G126</x:f>
        <x:v>0.003499999999999999</x:v>
      </x:c>
    </x:row>
    <x:row r="127" ht="25" customHeight="1">
      <x:c r="C127" s="2" t="n">
        <x:v>122</x:v>
      </x:c>
      <x:c r="D127" s="2" t="n">
        <x:v>13</x:v>
      </x:c>
      <x:c r="E127" s="2" t="str">
        <x:v>Cerulean &amp; Sky Blue</x:v>
      </x:c>
      <x:c r="F127" s="285" t="str">
        <x:v>#0066FF</x:v>
      </x:c>
      <x:c r="G127" s="478" t="n">
        <x:f>'Seasons'!F18</x:f>
        <x:v>300</x:v>
      </x:c>
      <x:c r="H127" s="59" t="n">
        <x:f>'Seasons'!G18</x:f>
        <x:v>0.005</x:v>
      </x:c>
      <x:c r="I127" s="13" t="n">
        <x:f>G127*H127</x:f>
        <x:v>1.5</x:v>
      </x:c>
      <x:c r="J127" s="59" t="n">
        <x:f>I127*'Seasons'!H18</x:f>
        <x:v>1.0499999999999998</x:v>
      </x:c>
      <x:c r="K127" s="59" t="n">
        <x:f>I127*'Seasons'!I18</x:f>
        <x:v>0.15000000000000002</x:v>
      </x:c>
      <x:c r="L127" s="13" t="n">
        <x:f>I127-J127-K127</x:f>
        <x:v>0.30000000000000016</x:v>
      </x:c>
      <x:c r="M127" s="478" t="n">
        <x:f>'Seasons'!O18</x:f>
        <x:v>10</x:v>
      </x:c>
      <x:c r="N127" s="478" t="n">
        <x:f>'Seasons'!P18</x:f>
        <x:v>14</x:v>
      </x:c>
      <x:c r="O127" s="61" t="n">
        <x:f>1/G127</x:f>
        <x:v>0.0033333333333333335</x:v>
      </x:c>
      <x:c r="P127" s="13" t="n">
        <x:f>J127/G127</x:f>
        <x:v>0.003499999999999999</x:v>
      </x:c>
    </x:row>
    <x:row r="128" ht="25" customHeight="1">
      <x:c r="C128" s="31" t="n">
        <x:v>123</x:v>
      </x:c>
      <x:c r="D128" s="31" t="n">
        <x:v>13</x:v>
      </x:c>
      <x:c r="E128" s="31" t="str">
        <x:v>Cerulean &amp; Sky Blue</x:v>
      </x:c>
      <x:c r="F128" s="287" t="str">
        <x:v>#0099CC</x:v>
      </x:c>
      <x:c r="G128" s="477" t="n">
        <x:f>'Seasons'!F18</x:f>
        <x:v>300</x:v>
      </x:c>
      <x:c r="H128" s="34" t="n">
        <x:f>'Seasons'!G18</x:f>
        <x:v>0.005</x:v>
      </x:c>
      <x:c r="I128" s="36" t="n">
        <x:f>G128*H128</x:f>
        <x:v>1.5</x:v>
      </x:c>
      <x:c r="J128" s="34" t="n">
        <x:f>I128*'Seasons'!H18</x:f>
        <x:v>1.0499999999999998</x:v>
      </x:c>
      <x:c r="K128" s="34" t="n">
        <x:f>I128*'Seasons'!I18</x:f>
        <x:v>0.15000000000000002</x:v>
      </x:c>
      <x:c r="L128" s="36" t="n">
        <x:f>I128-J128-K128</x:f>
        <x:v>0.30000000000000016</x:v>
      </x:c>
      <x:c r="M128" s="477" t="n">
        <x:f>'Seasons'!O18</x:f>
        <x:v>10</x:v>
      </x:c>
      <x:c r="N128" s="477" t="n">
        <x:f>'Seasons'!P18</x:f>
        <x:v>14</x:v>
      </x:c>
      <x:c r="O128" s="37" t="n">
        <x:f>1/G128</x:f>
        <x:v>0.0033333333333333335</x:v>
      </x:c>
      <x:c r="P128" s="36" t="n">
        <x:f>J128/G128</x:f>
        <x:v>0.003499999999999999</x:v>
      </x:c>
    </x:row>
    <x:row r="129" ht="25" customHeight="1">
      <x:c r="C129" s="2" t="n">
        <x:v>124</x:v>
      </x:c>
      <x:c r="D129" s="2" t="n">
        <x:v>13</x:v>
      </x:c>
      <x:c r="E129" s="2" t="str">
        <x:v>Cerulean &amp; Sky Blue</x:v>
      </x:c>
      <x:c r="F129" s="289" t="str">
        <x:v>#0099FF</x:v>
      </x:c>
      <x:c r="G129" s="478" t="n">
        <x:f>'Seasons'!F18</x:f>
        <x:v>300</x:v>
      </x:c>
      <x:c r="H129" s="59" t="n">
        <x:f>'Seasons'!G18</x:f>
        <x:v>0.005</x:v>
      </x:c>
      <x:c r="I129" s="13" t="n">
        <x:f>G129*H129</x:f>
        <x:v>1.5</x:v>
      </x:c>
      <x:c r="J129" s="59" t="n">
        <x:f>I129*'Seasons'!H18</x:f>
        <x:v>1.0499999999999998</x:v>
      </x:c>
      <x:c r="K129" s="59" t="n">
        <x:f>I129*'Seasons'!I18</x:f>
        <x:v>0.15000000000000002</x:v>
      </x:c>
      <x:c r="L129" s="13" t="n">
        <x:f>I129-J129-K129</x:f>
        <x:v>0.30000000000000016</x:v>
      </x:c>
      <x:c r="M129" s="478" t="n">
        <x:f>'Seasons'!O18</x:f>
        <x:v>10</x:v>
      </x:c>
      <x:c r="N129" s="478" t="n">
        <x:f>'Seasons'!P18</x:f>
        <x:v>14</x:v>
      </x:c>
      <x:c r="O129" s="61" t="n">
        <x:f>1/G129</x:f>
        <x:v>0.0033333333333333335</x:v>
      </x:c>
      <x:c r="P129" s="13" t="n">
        <x:f>J129/G129</x:f>
        <x:v>0.003499999999999999</x:v>
      </x:c>
    </x:row>
    <x:row r="130" ht="25" customHeight="1">
      <x:c r="C130" s="31" t="n">
        <x:v>125</x:v>
      </x:c>
      <x:c r="D130" s="31" t="n">
        <x:v>13</x:v>
      </x:c>
      <x:c r="E130" s="31" t="str">
        <x:v>Cerulean &amp; Sky Blue</x:v>
      </x:c>
      <x:c r="F130" s="291" t="str">
        <x:v>#3366CC</x:v>
      </x:c>
      <x:c r="G130" s="477" t="n">
        <x:f>'Seasons'!F18</x:f>
        <x:v>300</x:v>
      </x:c>
      <x:c r="H130" s="34" t="n">
        <x:f>'Seasons'!G18</x:f>
        <x:v>0.005</x:v>
      </x:c>
      <x:c r="I130" s="36" t="n">
        <x:f>G130*H130</x:f>
        <x:v>1.5</x:v>
      </x:c>
      <x:c r="J130" s="34" t="n">
        <x:f>I130*'Seasons'!H18</x:f>
        <x:v>1.0499999999999998</x:v>
      </x:c>
      <x:c r="K130" s="34" t="n">
        <x:f>I130*'Seasons'!I18</x:f>
        <x:v>0.15000000000000002</x:v>
      </x:c>
      <x:c r="L130" s="36" t="n">
        <x:f>I130-J130-K130</x:f>
        <x:v>0.30000000000000016</x:v>
      </x:c>
      <x:c r="M130" s="477" t="n">
        <x:f>'Seasons'!O18</x:f>
        <x:v>10</x:v>
      </x:c>
      <x:c r="N130" s="477" t="n">
        <x:f>'Seasons'!P18</x:f>
        <x:v>14</x:v>
      </x:c>
      <x:c r="O130" s="37" t="n">
        <x:f>1/G130</x:f>
        <x:v>0.0033333333333333335</x:v>
      </x:c>
      <x:c r="P130" s="36" t="n">
        <x:f>J130/G130</x:f>
        <x:v>0.003499999999999999</x:v>
      </x:c>
    </x:row>
    <x:row r="131" ht="25" customHeight="1">
      <x:c r="C131" s="2" t="n">
        <x:v>126</x:v>
      </x:c>
      <x:c r="D131" s="2" t="n">
        <x:v>13</x:v>
      </x:c>
      <x:c r="E131" s="2" t="str">
        <x:v>Cerulean &amp; Sky Blue</x:v>
      </x:c>
      <x:c r="F131" s="293" t="str">
        <x:v>#3366FF</x:v>
      </x:c>
      <x:c r="G131" s="478" t="n">
        <x:f>'Seasons'!F18</x:f>
        <x:v>300</x:v>
      </x:c>
      <x:c r="H131" s="59" t="n">
        <x:f>'Seasons'!G18</x:f>
        <x:v>0.005</x:v>
      </x:c>
      <x:c r="I131" s="13" t="n">
        <x:f>G131*H131</x:f>
        <x:v>1.5</x:v>
      </x:c>
      <x:c r="J131" s="59" t="n">
        <x:f>I131*'Seasons'!H18</x:f>
        <x:v>1.0499999999999998</x:v>
      </x:c>
      <x:c r="K131" s="59" t="n">
        <x:f>I131*'Seasons'!I18</x:f>
        <x:v>0.15000000000000002</x:v>
      </x:c>
      <x:c r="L131" s="13" t="n">
        <x:f>I131-J131-K131</x:f>
        <x:v>0.30000000000000016</x:v>
      </x:c>
      <x:c r="M131" s="478" t="n">
        <x:f>'Seasons'!O18</x:f>
        <x:v>10</x:v>
      </x:c>
      <x:c r="N131" s="478" t="n">
        <x:f>'Seasons'!P18</x:f>
        <x:v>14</x:v>
      </x:c>
      <x:c r="O131" s="61" t="n">
        <x:f>1/G131</x:f>
        <x:v>0.0033333333333333335</x:v>
      </x:c>
      <x:c r="P131" s="13" t="n">
        <x:f>J131/G131</x:f>
        <x:v>0.003499999999999999</x:v>
      </x:c>
    </x:row>
    <x:row r="132" ht="25" customHeight="1">
      <x:c r="C132" s="31" t="n">
        <x:v>127</x:v>
      </x:c>
      <x:c r="D132" s="31" t="n">
        <x:v>13</x:v>
      </x:c>
      <x:c r="E132" s="31" t="str">
        <x:v>Cerulean &amp; Sky Blue</x:v>
      </x:c>
      <x:c r="F132" s="295" t="str">
        <x:v>#3399FF</x:v>
      </x:c>
      <x:c r="G132" s="477" t="n">
        <x:f>'Seasons'!F18</x:f>
        <x:v>300</x:v>
      </x:c>
      <x:c r="H132" s="34" t="n">
        <x:f>'Seasons'!G18</x:f>
        <x:v>0.005</x:v>
      </x:c>
      <x:c r="I132" s="36" t="n">
        <x:f>G132*H132</x:f>
        <x:v>1.5</x:v>
      </x:c>
      <x:c r="J132" s="34" t="n">
        <x:f>I132*'Seasons'!H18</x:f>
        <x:v>1.0499999999999998</x:v>
      </x:c>
      <x:c r="K132" s="34" t="n">
        <x:f>I132*'Seasons'!I18</x:f>
        <x:v>0.15000000000000002</x:v>
      </x:c>
      <x:c r="L132" s="36" t="n">
        <x:f>I132-J132-K132</x:f>
        <x:v>0.30000000000000016</x:v>
      </x:c>
      <x:c r="M132" s="477" t="n">
        <x:f>'Seasons'!O18</x:f>
        <x:v>10</x:v>
      </x:c>
      <x:c r="N132" s="477" t="n">
        <x:f>'Seasons'!P18</x:f>
        <x:v>14</x:v>
      </x:c>
      <x:c r="O132" s="37" t="n">
        <x:f>1/G132</x:f>
        <x:v>0.0033333333333333335</x:v>
      </x:c>
      <x:c r="P132" s="36" t="n">
        <x:f>J132/G132</x:f>
        <x:v>0.003499999999999999</x:v>
      </x:c>
    </x:row>
    <x:row r="133" ht="25" customHeight="1">
      <x:c r="C133" s="2" t="n">
        <x:v>128</x:v>
      </x:c>
      <x:c r="D133" s="2" t="n">
        <x:v>13</x:v>
      </x:c>
      <x:c r="E133" s="2" t="str">
        <x:v>Cerulean &amp; Sky Blue</x:v>
      </x:c>
      <x:c r="F133" s="297" t="str">
        <x:v>#6699CC</x:v>
      </x:c>
      <x:c r="G133" s="478" t="n">
        <x:f>'Seasons'!F18</x:f>
        <x:v>300</x:v>
      </x:c>
      <x:c r="H133" s="59" t="n">
        <x:f>'Seasons'!G18</x:f>
        <x:v>0.005</x:v>
      </x:c>
      <x:c r="I133" s="13" t="n">
        <x:f>G133*H133</x:f>
        <x:v>1.5</x:v>
      </x:c>
      <x:c r="J133" s="59" t="n">
        <x:f>I133*'Seasons'!H18</x:f>
        <x:v>1.0499999999999998</x:v>
      </x:c>
      <x:c r="K133" s="59" t="n">
        <x:f>I133*'Seasons'!I18</x:f>
        <x:v>0.15000000000000002</x:v>
      </x:c>
      <x:c r="L133" s="13" t="n">
        <x:f>I133-J133-K133</x:f>
        <x:v>0.30000000000000016</x:v>
      </x:c>
      <x:c r="M133" s="478" t="n">
        <x:f>'Seasons'!O18</x:f>
        <x:v>10</x:v>
      </x:c>
      <x:c r="N133" s="478" t="n">
        <x:f>'Seasons'!P18</x:f>
        <x:v>14</x:v>
      </x:c>
      <x:c r="O133" s="61" t="n">
        <x:f>1/G133</x:f>
        <x:v>0.0033333333333333335</x:v>
      </x:c>
      <x:c r="P133" s="13" t="n">
        <x:f>J133/G133</x:f>
        <x:v>0.003499999999999999</x:v>
      </x:c>
    </x:row>
    <x:row r="134" ht="25" customHeight="1">
      <x:c r="C134" s="31" t="n">
        <x:v>129</x:v>
      </x:c>
      <x:c r="D134" s="31" t="n">
        <x:v>13</x:v>
      </x:c>
      <x:c r="E134" s="31" t="str">
        <x:v>Cerulean &amp; Sky Blue</x:v>
      </x:c>
      <x:c r="F134" s="299" t="str">
        <x:v>#6699FF</x:v>
      </x:c>
      <x:c r="G134" s="477" t="n">
        <x:f>'Seasons'!F18</x:f>
        <x:v>300</x:v>
      </x:c>
      <x:c r="H134" s="34" t="n">
        <x:f>'Seasons'!G18</x:f>
        <x:v>0.005</x:v>
      </x:c>
      <x:c r="I134" s="36" t="n">
        <x:f>G134*H134</x:f>
        <x:v>1.5</x:v>
      </x:c>
      <x:c r="J134" s="34" t="n">
        <x:f>I134*'Seasons'!H18</x:f>
        <x:v>1.0499999999999998</x:v>
      </x:c>
      <x:c r="K134" s="34" t="n">
        <x:f>I134*'Seasons'!I18</x:f>
        <x:v>0.15000000000000002</x:v>
      </x:c>
      <x:c r="L134" s="36" t="n">
        <x:f>I134-J134-K134</x:f>
        <x:v>0.30000000000000016</x:v>
      </x:c>
      <x:c r="M134" s="477" t="n">
        <x:f>'Seasons'!O18</x:f>
        <x:v>10</x:v>
      </x:c>
      <x:c r="N134" s="477" t="n">
        <x:f>'Seasons'!P18</x:f>
        <x:v>14</x:v>
      </x:c>
      <x:c r="O134" s="37" t="n">
        <x:f>1/G134</x:f>
        <x:v>0.0033333333333333335</x:v>
      </x:c>
      <x:c r="P134" s="36" t="n">
        <x:f>J134/G134</x:f>
        <x:v>0.003499999999999999</x:v>
      </x:c>
    </x:row>
    <x:row r="135" ht="25" customHeight="1">
      <x:c r="C135" s="2" t="n">
        <x:v>130</x:v>
      </x:c>
      <x:c r="D135" s="2" t="n">
        <x:v>13</x:v>
      </x:c>
      <x:c r="E135" s="2" t="str">
        <x:v>Cerulean &amp; Sky Blue</x:v>
      </x:c>
      <x:c r="F135" s="301" t="str">
        <x:v>#666699</x:v>
      </x:c>
      <x:c r="G135" s="478" t="n">
        <x:f>'Seasons'!F18</x:f>
        <x:v>300</x:v>
      </x:c>
      <x:c r="H135" s="59" t="n">
        <x:f>'Seasons'!G18</x:f>
        <x:v>0.005</x:v>
      </x:c>
      <x:c r="I135" s="13" t="n">
        <x:f>G135*H135</x:f>
        <x:v>1.5</x:v>
      </x:c>
      <x:c r="J135" s="59" t="n">
        <x:f>I135*'Seasons'!H18</x:f>
        <x:v>1.0499999999999998</x:v>
      </x:c>
      <x:c r="K135" s="59" t="n">
        <x:f>I135*'Seasons'!I18</x:f>
        <x:v>0.15000000000000002</x:v>
      </x:c>
      <x:c r="L135" s="13" t="n">
        <x:f>I135-J135-K135</x:f>
        <x:v>0.30000000000000016</x:v>
      </x:c>
      <x:c r="M135" s="478" t="n">
        <x:f>'Seasons'!O18</x:f>
        <x:v>10</x:v>
      </x:c>
      <x:c r="N135" s="478" t="n">
        <x:f>'Seasons'!P18</x:f>
        <x:v>14</x:v>
      </x:c>
      <x:c r="O135" s="61" t="n">
        <x:f>1/G135</x:f>
        <x:v>0.0033333333333333335</x:v>
      </x:c>
      <x:c r="P135" s="13" t="n">
        <x:f>J135/G135</x:f>
        <x:v>0.003499999999999999</x:v>
      </x:c>
    </x:row>
    <x:row r="136" ht="25" customHeight="1">
      <x:c r="C136" s="31" t="n">
        <x:v>131</x:v>
      </x:c>
      <x:c r="D136" s="31" t="n">
        <x:v>14</x:v>
      </x:c>
      <x:c r="E136" s="31" t="str">
        <x:v>Cobalt &amp; Deep Azure</x:v>
      </x:c>
      <x:c r="F136" s="303" t="str">
        <x:v>#000033</x:v>
      </x:c>
      <x:c r="G136" s="477" t="n">
        <x:f>'Seasons'!F19</x:f>
        <x:v>300</x:v>
      </x:c>
      <x:c r="H136" s="34" t="n">
        <x:f>'Seasons'!G19</x:f>
        <x:v>0.005</x:v>
      </x:c>
      <x:c r="I136" s="36" t="n">
        <x:f>G136*H136</x:f>
        <x:v>1.5</x:v>
      </x:c>
      <x:c r="J136" s="34" t="n">
        <x:f>I136*'Seasons'!H19</x:f>
        <x:v>1.0499999999999998</x:v>
      </x:c>
      <x:c r="K136" s="34" t="n">
        <x:f>I136*'Seasons'!I19</x:f>
        <x:v>0.15000000000000002</x:v>
      </x:c>
      <x:c r="L136" s="36" t="n">
        <x:f>I136-J136-K136</x:f>
        <x:v>0.30000000000000016</x:v>
      </x:c>
      <x:c r="M136" s="477" t="n">
        <x:f>'Seasons'!O19</x:f>
        <x:v>10</x:v>
      </x:c>
      <x:c r="N136" s="477" t="n">
        <x:f>'Seasons'!P19</x:f>
        <x:v>14</x:v>
      </x:c>
      <x:c r="O136" s="37" t="n">
        <x:f>1/G136</x:f>
        <x:v>0.0033333333333333335</x:v>
      </x:c>
      <x:c r="P136" s="36" t="n">
        <x:f>J136/G136</x:f>
        <x:v>0.003499999999999999</x:v>
      </x:c>
    </x:row>
    <x:row r="137" ht="25" customHeight="1">
      <x:c r="C137" s="2" t="n">
        <x:v>132</x:v>
      </x:c>
      <x:c r="D137" s="2" t="n">
        <x:v>14</x:v>
      </x:c>
      <x:c r="E137" s="2" t="str">
        <x:v>Cobalt &amp; Deep Azure</x:v>
      </x:c>
      <x:c r="F137" s="305" t="str">
        <x:v>#000066</x:v>
      </x:c>
      <x:c r="G137" s="478" t="n">
        <x:f>'Seasons'!F19</x:f>
        <x:v>300</x:v>
      </x:c>
      <x:c r="H137" s="59" t="n">
        <x:f>'Seasons'!G19</x:f>
        <x:v>0.005</x:v>
      </x:c>
      <x:c r="I137" s="13" t="n">
        <x:f>G137*H137</x:f>
        <x:v>1.5</x:v>
      </x:c>
      <x:c r="J137" s="59" t="n">
        <x:f>I137*'Seasons'!H19</x:f>
        <x:v>1.0499999999999998</x:v>
      </x:c>
      <x:c r="K137" s="59" t="n">
        <x:f>I137*'Seasons'!I19</x:f>
        <x:v>0.15000000000000002</x:v>
      </x:c>
      <x:c r="L137" s="13" t="n">
        <x:f>I137-J137-K137</x:f>
        <x:v>0.30000000000000016</x:v>
      </x:c>
      <x:c r="M137" s="478" t="n">
        <x:f>'Seasons'!O19</x:f>
        <x:v>10</x:v>
      </x:c>
      <x:c r="N137" s="478" t="n">
        <x:f>'Seasons'!P19</x:f>
        <x:v>14</x:v>
      </x:c>
      <x:c r="O137" s="61" t="n">
        <x:f>1/G137</x:f>
        <x:v>0.0033333333333333335</x:v>
      </x:c>
      <x:c r="P137" s="13" t="n">
        <x:f>J137/G137</x:f>
        <x:v>0.003499999999999999</x:v>
      </x:c>
    </x:row>
    <x:row r="138" ht="25" customHeight="1">
      <x:c r="C138" s="31" t="n">
        <x:v>133</x:v>
      </x:c>
      <x:c r="D138" s="31" t="n">
        <x:v>14</x:v>
      </x:c>
      <x:c r="E138" s="31" t="str">
        <x:v>Cobalt &amp; Deep Azure</x:v>
      </x:c>
      <x:c r="F138" s="307" t="str">
        <x:v>#000099</x:v>
      </x:c>
      <x:c r="G138" s="477" t="n">
        <x:f>'Seasons'!F19</x:f>
        <x:v>300</x:v>
      </x:c>
      <x:c r="H138" s="34" t="n">
        <x:f>'Seasons'!G19</x:f>
        <x:v>0.005</x:v>
      </x:c>
      <x:c r="I138" s="36" t="n">
        <x:f>G138*H138</x:f>
        <x:v>1.5</x:v>
      </x:c>
      <x:c r="J138" s="34" t="n">
        <x:f>I138*'Seasons'!H19</x:f>
        <x:v>1.0499999999999998</x:v>
      </x:c>
      <x:c r="K138" s="34" t="n">
        <x:f>I138*'Seasons'!I19</x:f>
        <x:v>0.15000000000000002</x:v>
      </x:c>
      <x:c r="L138" s="36" t="n">
        <x:f>I138-J138-K138</x:f>
        <x:v>0.30000000000000016</x:v>
      </x:c>
      <x:c r="M138" s="477" t="n">
        <x:f>'Seasons'!O19</x:f>
        <x:v>10</x:v>
      </x:c>
      <x:c r="N138" s="477" t="n">
        <x:f>'Seasons'!P19</x:f>
        <x:v>14</x:v>
      </x:c>
      <x:c r="O138" s="37" t="n">
        <x:f>1/G138</x:f>
        <x:v>0.0033333333333333335</x:v>
      </x:c>
      <x:c r="P138" s="36" t="n">
        <x:f>J138/G138</x:f>
        <x:v>0.003499999999999999</x:v>
      </x:c>
    </x:row>
    <x:row r="139" ht="25" customHeight="1">
      <x:c r="C139" s="2" t="n">
        <x:v>134</x:v>
      </x:c>
      <x:c r="D139" s="2" t="n">
        <x:v>14</x:v>
      </x:c>
      <x:c r="E139" s="2" t="str">
        <x:v>Cobalt &amp; Deep Azure</x:v>
      </x:c>
      <x:c r="F139" s="309" t="str">
        <x:v>#0000CC</x:v>
      </x:c>
      <x:c r="G139" s="478" t="n">
        <x:f>'Seasons'!F19</x:f>
        <x:v>300</x:v>
      </x:c>
      <x:c r="H139" s="59" t="n">
        <x:f>'Seasons'!G19</x:f>
        <x:v>0.005</x:v>
      </x:c>
      <x:c r="I139" s="13" t="n">
        <x:f>G139*H139</x:f>
        <x:v>1.5</x:v>
      </x:c>
      <x:c r="J139" s="59" t="n">
        <x:f>I139*'Seasons'!H19</x:f>
        <x:v>1.0499999999999998</x:v>
      </x:c>
      <x:c r="K139" s="59" t="n">
        <x:f>I139*'Seasons'!I19</x:f>
        <x:v>0.15000000000000002</x:v>
      </x:c>
      <x:c r="L139" s="13" t="n">
        <x:f>I139-J139-K139</x:f>
        <x:v>0.30000000000000016</x:v>
      </x:c>
      <x:c r="M139" s="478" t="n">
        <x:f>'Seasons'!O19</x:f>
        <x:v>10</x:v>
      </x:c>
      <x:c r="N139" s="478" t="n">
        <x:f>'Seasons'!P19</x:f>
        <x:v>14</x:v>
      </x:c>
      <x:c r="O139" s="61" t="n">
        <x:f>1/G139</x:f>
        <x:v>0.0033333333333333335</x:v>
      </x:c>
      <x:c r="P139" s="13" t="n">
        <x:f>J139/G139</x:f>
        <x:v>0.003499999999999999</x:v>
      </x:c>
    </x:row>
    <x:row r="140" ht="25" customHeight="1">
      <x:c r="C140" s="31" t="n">
        <x:v>135</x:v>
      </x:c>
      <x:c r="D140" s="31" t="n">
        <x:v>14</x:v>
      </x:c>
      <x:c r="E140" s="31" t="str">
        <x:v>Cobalt &amp; Deep Azure</x:v>
      </x:c>
      <x:c r="F140" s="311" t="str">
        <x:v>#0000FF</x:v>
      </x:c>
      <x:c r="G140" s="477" t="n">
        <x:f>'Seasons'!F19</x:f>
        <x:v>300</x:v>
      </x:c>
      <x:c r="H140" s="34" t="n">
        <x:f>'Seasons'!G19</x:f>
        <x:v>0.005</x:v>
      </x:c>
      <x:c r="I140" s="36" t="n">
        <x:f>G140*H140</x:f>
        <x:v>1.5</x:v>
      </x:c>
      <x:c r="J140" s="34" t="n">
        <x:f>I140*'Seasons'!H19</x:f>
        <x:v>1.0499999999999998</x:v>
      </x:c>
      <x:c r="K140" s="34" t="n">
        <x:f>I140*'Seasons'!I19</x:f>
        <x:v>0.15000000000000002</x:v>
      </x:c>
      <x:c r="L140" s="36" t="n">
        <x:f>I140-J140-K140</x:f>
        <x:v>0.30000000000000016</x:v>
      </x:c>
      <x:c r="M140" s="477" t="n">
        <x:f>'Seasons'!O19</x:f>
        <x:v>10</x:v>
      </x:c>
      <x:c r="N140" s="477" t="n">
        <x:f>'Seasons'!P19</x:f>
        <x:v>14</x:v>
      </x:c>
      <x:c r="O140" s="37" t="n">
        <x:f>1/G140</x:f>
        <x:v>0.0033333333333333335</x:v>
      </x:c>
      <x:c r="P140" s="36" t="n">
        <x:f>J140/G140</x:f>
        <x:v>0.003499999999999999</x:v>
      </x:c>
    </x:row>
    <x:row r="141" ht="25" customHeight="1">
      <x:c r="C141" s="2" t="n">
        <x:v>136</x:v>
      </x:c>
      <x:c r="D141" s="2" t="n">
        <x:v>14</x:v>
      </x:c>
      <x:c r="E141" s="2" t="str">
        <x:v>Cobalt &amp; Deep Azure</x:v>
      </x:c>
      <x:c r="F141" s="313" t="str">
        <x:v>#330033</x:v>
      </x:c>
      <x:c r="G141" s="478" t="n">
        <x:f>'Seasons'!F19</x:f>
        <x:v>300</x:v>
      </x:c>
      <x:c r="H141" s="59" t="n">
        <x:f>'Seasons'!G19</x:f>
        <x:v>0.005</x:v>
      </x:c>
      <x:c r="I141" s="13" t="n">
        <x:f>G141*H141</x:f>
        <x:v>1.5</x:v>
      </x:c>
      <x:c r="J141" s="59" t="n">
        <x:f>I141*'Seasons'!H19</x:f>
        <x:v>1.0499999999999998</x:v>
      </x:c>
      <x:c r="K141" s="59" t="n">
        <x:f>I141*'Seasons'!I19</x:f>
        <x:v>0.15000000000000002</x:v>
      </x:c>
      <x:c r="L141" s="13" t="n">
        <x:f>I141-J141-K141</x:f>
        <x:v>0.30000000000000016</x:v>
      </x:c>
      <x:c r="M141" s="478" t="n">
        <x:f>'Seasons'!O19</x:f>
        <x:v>10</x:v>
      </x:c>
      <x:c r="N141" s="478" t="n">
        <x:f>'Seasons'!P19</x:f>
        <x:v>14</x:v>
      </x:c>
      <x:c r="O141" s="61" t="n">
        <x:f>1/G141</x:f>
        <x:v>0.0033333333333333335</x:v>
      </x:c>
      <x:c r="P141" s="13" t="n">
        <x:f>J141/G141</x:f>
        <x:v>0.003499999999999999</x:v>
      </x:c>
    </x:row>
    <x:row r="142" ht="25" customHeight="1">
      <x:c r="C142" s="31" t="n">
        <x:v>137</x:v>
      </x:c>
      <x:c r="D142" s="31" t="n">
        <x:v>14</x:v>
      </x:c>
      <x:c r="E142" s="31" t="str">
        <x:v>Cobalt &amp; Deep Azure</x:v>
      </x:c>
      <x:c r="F142" s="315" t="str">
        <x:v>#330066</x:v>
      </x:c>
      <x:c r="G142" s="477" t="n">
        <x:f>'Seasons'!F19</x:f>
        <x:v>300</x:v>
      </x:c>
      <x:c r="H142" s="34" t="n">
        <x:f>'Seasons'!G19</x:f>
        <x:v>0.005</x:v>
      </x:c>
      <x:c r="I142" s="36" t="n">
        <x:f>G142*H142</x:f>
        <x:v>1.5</x:v>
      </x:c>
      <x:c r="J142" s="34" t="n">
        <x:f>I142*'Seasons'!H19</x:f>
        <x:v>1.0499999999999998</x:v>
      </x:c>
      <x:c r="K142" s="34" t="n">
        <x:f>I142*'Seasons'!I19</x:f>
        <x:v>0.15000000000000002</x:v>
      </x:c>
      <x:c r="L142" s="36" t="n">
        <x:f>I142-J142-K142</x:f>
        <x:v>0.30000000000000016</x:v>
      </x:c>
      <x:c r="M142" s="477" t="n">
        <x:f>'Seasons'!O19</x:f>
        <x:v>10</x:v>
      </x:c>
      <x:c r="N142" s="477" t="n">
        <x:f>'Seasons'!P19</x:f>
        <x:v>14</x:v>
      </x:c>
      <x:c r="O142" s="37" t="n">
        <x:f>1/G142</x:f>
        <x:v>0.0033333333333333335</x:v>
      </x:c>
      <x:c r="P142" s="36" t="n">
        <x:f>J142/G142</x:f>
        <x:v>0.003499999999999999</x:v>
      </x:c>
    </x:row>
    <x:row r="143" ht="25" customHeight="1">
      <x:c r="C143" s="2" t="n">
        <x:v>138</x:v>
      </x:c>
      <x:c r="D143" s="2" t="n">
        <x:v>14</x:v>
      </x:c>
      <x:c r="E143" s="2" t="str">
        <x:v>Cobalt &amp; Deep Azure</x:v>
      </x:c>
      <x:c r="F143" s="317" t="str">
        <x:v>#330099</x:v>
      </x:c>
      <x:c r="G143" s="478" t="n">
        <x:f>'Seasons'!F19</x:f>
        <x:v>300</x:v>
      </x:c>
      <x:c r="H143" s="59" t="n">
        <x:f>'Seasons'!G19</x:f>
        <x:v>0.005</x:v>
      </x:c>
      <x:c r="I143" s="13" t="n">
        <x:f>G143*H143</x:f>
        <x:v>1.5</x:v>
      </x:c>
      <x:c r="J143" s="59" t="n">
        <x:f>I143*'Seasons'!H19</x:f>
        <x:v>1.0499999999999998</x:v>
      </x:c>
      <x:c r="K143" s="59" t="n">
        <x:f>I143*'Seasons'!I19</x:f>
        <x:v>0.15000000000000002</x:v>
      </x:c>
      <x:c r="L143" s="13" t="n">
        <x:f>I143-J143-K143</x:f>
        <x:v>0.30000000000000016</x:v>
      </x:c>
      <x:c r="M143" s="478" t="n">
        <x:f>'Seasons'!O19</x:f>
        <x:v>10</x:v>
      </x:c>
      <x:c r="N143" s="478" t="n">
        <x:f>'Seasons'!P19</x:f>
        <x:v>14</x:v>
      </x:c>
      <x:c r="O143" s="61" t="n">
        <x:f>1/G143</x:f>
        <x:v>0.0033333333333333335</x:v>
      </x:c>
      <x:c r="P143" s="13" t="n">
        <x:f>J143/G143</x:f>
        <x:v>0.003499999999999999</x:v>
      </x:c>
    </x:row>
    <x:row r="144" ht="25" customHeight="1">
      <x:c r="C144" s="31" t="n">
        <x:v>139</x:v>
      </x:c>
      <x:c r="D144" s="31" t="n">
        <x:v>14</x:v>
      </x:c>
      <x:c r="E144" s="31" t="str">
        <x:v>Cobalt &amp; Deep Azure</x:v>
      </x:c>
      <x:c r="F144" s="319" t="str">
        <x:v>#3300CC</x:v>
      </x:c>
      <x:c r="G144" s="477" t="n">
        <x:f>'Seasons'!F19</x:f>
        <x:v>300</x:v>
      </x:c>
      <x:c r="H144" s="34" t="n">
        <x:f>'Seasons'!G19</x:f>
        <x:v>0.005</x:v>
      </x:c>
      <x:c r="I144" s="36" t="n">
        <x:f>G144*H144</x:f>
        <x:v>1.5</x:v>
      </x:c>
      <x:c r="J144" s="34" t="n">
        <x:f>I144*'Seasons'!H19</x:f>
        <x:v>1.0499999999999998</x:v>
      </x:c>
      <x:c r="K144" s="34" t="n">
        <x:f>I144*'Seasons'!I19</x:f>
        <x:v>0.15000000000000002</x:v>
      </x:c>
      <x:c r="L144" s="36" t="n">
        <x:f>I144-J144-K144</x:f>
        <x:v>0.30000000000000016</x:v>
      </x:c>
      <x:c r="M144" s="477" t="n">
        <x:f>'Seasons'!O19</x:f>
        <x:v>10</x:v>
      </x:c>
      <x:c r="N144" s="477" t="n">
        <x:f>'Seasons'!P19</x:f>
        <x:v>14</x:v>
      </x:c>
      <x:c r="O144" s="37" t="n">
        <x:f>1/G144</x:f>
        <x:v>0.0033333333333333335</x:v>
      </x:c>
      <x:c r="P144" s="36" t="n">
        <x:f>J144/G144</x:f>
        <x:v>0.003499999999999999</x:v>
      </x:c>
    </x:row>
    <x:row r="145" ht="25" customHeight="1">
      <x:c r="C145" s="2" t="n">
        <x:v>140</x:v>
      </x:c>
      <x:c r="D145" s="2" t="n">
        <x:v>14</x:v>
      </x:c>
      <x:c r="E145" s="2" t="str">
        <x:v>Cobalt &amp; Deep Azure</x:v>
      </x:c>
      <x:c r="F145" s="321" t="str">
        <x:v>#3300FF</x:v>
      </x:c>
      <x:c r="G145" s="478" t="n">
        <x:f>'Seasons'!F19</x:f>
        <x:v>300</x:v>
      </x:c>
      <x:c r="H145" s="59" t="n">
        <x:f>'Seasons'!G19</x:f>
        <x:v>0.005</x:v>
      </x:c>
      <x:c r="I145" s="13" t="n">
        <x:f>G145*H145</x:f>
        <x:v>1.5</x:v>
      </x:c>
      <x:c r="J145" s="59" t="n">
        <x:f>I145*'Seasons'!H19</x:f>
        <x:v>1.0499999999999998</x:v>
      </x:c>
      <x:c r="K145" s="59" t="n">
        <x:f>I145*'Seasons'!I19</x:f>
        <x:v>0.15000000000000002</x:v>
      </x:c>
      <x:c r="L145" s="13" t="n">
        <x:f>I145-J145-K145</x:f>
        <x:v>0.30000000000000016</x:v>
      </x:c>
      <x:c r="M145" s="478" t="n">
        <x:f>'Seasons'!O19</x:f>
        <x:v>10</x:v>
      </x:c>
      <x:c r="N145" s="478" t="n">
        <x:f>'Seasons'!P19</x:f>
        <x:v>14</x:v>
      </x:c>
      <x:c r="O145" s="61" t="n">
        <x:f>1/G145</x:f>
        <x:v>0.0033333333333333335</x:v>
      </x:c>
      <x:c r="P145" s="13" t="n">
        <x:f>J145/G145</x:f>
        <x:v>0.003499999999999999</x:v>
      </x:c>
    </x:row>
    <x:row r="146" ht="25" customHeight="1">
      <x:c r="C146" s="31" t="n">
        <x:v>141</x:v>
      </x:c>
      <x:c r="D146" s="31" t="n">
        <x:v>15</x:v>
      </x:c>
      <x:c r="E146" s="31" t="str">
        <x:v>Midnight Navy &amp; Steel</x:v>
      </x:c>
      <x:c r="F146" s="323" t="str">
        <x:v>#0033FF</x:v>
      </x:c>
      <x:c r="G146" s="477" t="n">
        <x:f>'Seasons'!F20</x:f>
        <x:v>300</x:v>
      </x:c>
      <x:c r="H146" s="34" t="n">
        <x:f>'Seasons'!G20</x:f>
        <x:v>0.005</x:v>
      </x:c>
      <x:c r="I146" s="36" t="n">
        <x:f>G146*H146</x:f>
        <x:v>1.5</x:v>
      </x:c>
      <x:c r="J146" s="34" t="n">
        <x:f>I146*'Seasons'!H20</x:f>
        <x:v>1.0499999999999998</x:v>
      </x:c>
      <x:c r="K146" s="34" t="n">
        <x:f>I146*'Seasons'!I20</x:f>
        <x:v>0.15000000000000002</x:v>
      </x:c>
      <x:c r="L146" s="36" t="n">
        <x:f>I146-J146-K146</x:f>
        <x:v>0.30000000000000016</x:v>
      </x:c>
      <x:c r="M146" s="477" t="n">
        <x:f>'Seasons'!O20</x:f>
        <x:v>10</x:v>
      </x:c>
      <x:c r="N146" s="477" t="n">
        <x:f>'Seasons'!P20</x:f>
        <x:v>14</x:v>
      </x:c>
      <x:c r="O146" s="37" t="n">
        <x:f>1/G146</x:f>
        <x:v>0.0033333333333333335</x:v>
      </x:c>
      <x:c r="P146" s="36" t="n">
        <x:f>J146/G146</x:f>
        <x:v>0.003499999999999999</x:v>
      </x:c>
    </x:row>
    <x:row r="147" ht="25" customHeight="1">
      <x:c r="C147" s="2" t="n">
        <x:v>142</x:v>
      </x:c>
      <x:c r="D147" s="2" t="n">
        <x:v>15</x:v>
      </x:c>
      <x:c r="E147" s="2" t="str">
        <x:v>Midnight Navy &amp; Steel</x:v>
      </x:c>
      <x:c r="F147" s="325" t="str">
        <x:v>#6666CC</x:v>
      </x:c>
      <x:c r="G147" s="478" t="n">
        <x:f>'Seasons'!F20</x:f>
        <x:v>300</x:v>
      </x:c>
      <x:c r="H147" s="59" t="n">
        <x:f>'Seasons'!G20</x:f>
        <x:v>0.005</x:v>
      </x:c>
      <x:c r="I147" s="13" t="n">
        <x:f>G147*H147</x:f>
        <x:v>1.5</x:v>
      </x:c>
      <x:c r="J147" s="59" t="n">
        <x:f>I147*'Seasons'!H20</x:f>
        <x:v>1.0499999999999998</x:v>
      </x:c>
      <x:c r="K147" s="59" t="n">
        <x:f>I147*'Seasons'!I20</x:f>
        <x:v>0.15000000000000002</x:v>
      </x:c>
      <x:c r="L147" s="13" t="n">
        <x:f>I147-J147-K147</x:f>
        <x:v>0.30000000000000016</x:v>
      </x:c>
      <x:c r="M147" s="478" t="n">
        <x:f>'Seasons'!O20</x:f>
        <x:v>10</x:v>
      </x:c>
      <x:c r="N147" s="478" t="n">
        <x:f>'Seasons'!P20</x:f>
        <x:v>14</x:v>
      </x:c>
      <x:c r="O147" s="61" t="n">
        <x:f>1/G147</x:f>
        <x:v>0.0033333333333333335</x:v>
      </x:c>
      <x:c r="P147" s="13" t="n">
        <x:f>J147/G147</x:f>
        <x:v>0.003499999999999999</x:v>
      </x:c>
    </x:row>
    <x:row r="148" ht="25" customHeight="1">
      <x:c r="C148" s="31" t="n">
        <x:v>143</x:v>
      </x:c>
      <x:c r="D148" s="31" t="n">
        <x:v>15</x:v>
      </x:c>
      <x:c r="E148" s="31" t="str">
        <x:v>Midnight Navy &amp; Steel</x:v>
      </x:c>
      <x:c r="F148" s="327" t="str">
        <x:v>#6666FF</x:v>
      </x:c>
      <x:c r="G148" s="477" t="n">
        <x:f>'Seasons'!F20</x:f>
        <x:v>300</x:v>
      </x:c>
      <x:c r="H148" s="34" t="n">
        <x:f>'Seasons'!G20</x:f>
        <x:v>0.005</x:v>
      </x:c>
      <x:c r="I148" s="36" t="n">
        <x:f>G148*H148</x:f>
        <x:v>1.5</x:v>
      </x:c>
      <x:c r="J148" s="34" t="n">
        <x:f>I148*'Seasons'!H20</x:f>
        <x:v>1.0499999999999998</x:v>
      </x:c>
      <x:c r="K148" s="34" t="n">
        <x:f>I148*'Seasons'!I20</x:f>
        <x:v>0.15000000000000002</x:v>
      </x:c>
      <x:c r="L148" s="36" t="n">
        <x:f>I148-J148-K148</x:f>
        <x:v>0.30000000000000016</x:v>
      </x:c>
      <x:c r="M148" s="477" t="n">
        <x:f>'Seasons'!O20</x:f>
        <x:v>10</x:v>
      </x:c>
      <x:c r="N148" s="477" t="n">
        <x:f>'Seasons'!P20</x:f>
        <x:v>14</x:v>
      </x:c>
      <x:c r="O148" s="37" t="n">
        <x:f>1/G148</x:f>
        <x:v>0.0033333333333333335</x:v>
      </x:c>
      <x:c r="P148" s="36" t="n">
        <x:f>J148/G148</x:f>
        <x:v>0.003499999999999999</x:v>
      </x:c>
    </x:row>
    <x:row r="149" ht="25" customHeight="1">
      <x:c r="C149" s="2" t="n">
        <x:v>144</x:v>
      </x:c>
      <x:c r="D149" s="2" t="n">
        <x:v>15</x:v>
      </x:c>
      <x:c r="E149" s="2" t="str">
        <x:v>Midnight Navy &amp; Steel</x:v>
      </x:c>
      <x:c r="F149" s="329" t="str">
        <x:v>#9999CC</x:v>
      </x:c>
      <x:c r="G149" s="478" t="n">
        <x:f>'Seasons'!F20</x:f>
        <x:v>300</x:v>
      </x:c>
      <x:c r="H149" s="59" t="n">
        <x:f>'Seasons'!G20</x:f>
        <x:v>0.005</x:v>
      </x:c>
      <x:c r="I149" s="13" t="n">
        <x:f>G149*H149</x:f>
        <x:v>1.5</x:v>
      </x:c>
      <x:c r="J149" s="59" t="n">
        <x:f>I149*'Seasons'!H20</x:f>
        <x:v>1.0499999999999998</x:v>
      </x:c>
      <x:c r="K149" s="59" t="n">
        <x:f>I149*'Seasons'!I20</x:f>
        <x:v>0.15000000000000002</x:v>
      </x:c>
      <x:c r="L149" s="13" t="n">
        <x:f>I149-J149-K149</x:f>
        <x:v>0.30000000000000016</x:v>
      </x:c>
      <x:c r="M149" s="478" t="n">
        <x:f>'Seasons'!O20</x:f>
        <x:v>10</x:v>
      </x:c>
      <x:c r="N149" s="478" t="n">
        <x:f>'Seasons'!P20</x:f>
        <x:v>14</x:v>
      </x:c>
      <x:c r="O149" s="61" t="n">
        <x:f>1/G149</x:f>
        <x:v>0.0033333333333333335</x:v>
      </x:c>
      <x:c r="P149" s="13" t="n">
        <x:f>J149/G149</x:f>
        <x:v>0.003499999999999999</x:v>
      </x:c>
    </x:row>
    <x:row r="150" ht="25" customHeight="1">
      <x:c r="C150" s="31" t="n">
        <x:v>145</x:v>
      </x:c>
      <x:c r="D150" s="31" t="n">
        <x:v>15</x:v>
      </x:c>
      <x:c r="E150" s="31" t="str">
        <x:v>Midnight Navy &amp; Steel</x:v>
      </x:c>
      <x:c r="F150" s="331" t="str">
        <x:v>#9999FF</x:v>
      </x:c>
      <x:c r="G150" s="477" t="n">
        <x:f>'Seasons'!F20</x:f>
        <x:v>300</x:v>
      </x:c>
      <x:c r="H150" s="34" t="n">
        <x:f>'Seasons'!G20</x:f>
        <x:v>0.005</x:v>
      </x:c>
      <x:c r="I150" s="36" t="n">
        <x:f>G150*H150</x:f>
        <x:v>1.5</x:v>
      </x:c>
      <x:c r="J150" s="34" t="n">
        <x:f>I150*'Seasons'!H20</x:f>
        <x:v>1.0499999999999998</x:v>
      </x:c>
      <x:c r="K150" s="34" t="n">
        <x:f>I150*'Seasons'!I20</x:f>
        <x:v>0.15000000000000002</x:v>
      </x:c>
      <x:c r="L150" s="36" t="n">
        <x:f>I150-J150-K150</x:f>
        <x:v>0.30000000000000016</x:v>
      </x:c>
      <x:c r="M150" s="477" t="n">
        <x:f>'Seasons'!O20</x:f>
        <x:v>10</x:v>
      </x:c>
      <x:c r="N150" s="477" t="n">
        <x:f>'Seasons'!P20</x:f>
        <x:v>14</x:v>
      </x:c>
      <x:c r="O150" s="37" t="n">
        <x:f>1/G150</x:f>
        <x:v>0.0033333333333333335</x:v>
      </x:c>
      <x:c r="P150" s="36" t="n">
        <x:f>J150/G150</x:f>
        <x:v>0.003499999999999999</x:v>
      </x:c>
    </x:row>
    <x:row r="151" ht="25" customHeight="1">
      <x:c r="C151" s="2" t="n">
        <x:v>146</x:v>
      </x:c>
      <x:c r="D151" s="2" t="n">
        <x:v>15</x:v>
      </x:c>
      <x:c r="E151" s="2" t="str">
        <x:v>Midnight Navy &amp; Steel</x:v>
      </x:c>
      <x:c r="F151" s="333" t="str">
        <x:v>#CCCCFF</x:v>
      </x:c>
      <x:c r="G151" s="478" t="n">
        <x:f>'Seasons'!F20</x:f>
        <x:v>300</x:v>
      </x:c>
      <x:c r="H151" s="59" t="n">
        <x:f>'Seasons'!G20</x:f>
        <x:v>0.005</x:v>
      </x:c>
      <x:c r="I151" s="13" t="n">
        <x:f>G151*H151</x:f>
        <x:v>1.5</x:v>
      </x:c>
      <x:c r="J151" s="59" t="n">
        <x:f>I151*'Seasons'!H20</x:f>
        <x:v>1.0499999999999998</x:v>
      </x:c>
      <x:c r="K151" s="59" t="n">
        <x:f>I151*'Seasons'!I20</x:f>
        <x:v>0.15000000000000002</x:v>
      </x:c>
      <x:c r="L151" s="13" t="n">
        <x:f>I151-J151-K151</x:f>
        <x:v>0.30000000000000016</x:v>
      </x:c>
      <x:c r="M151" s="478" t="n">
        <x:f>'Seasons'!O20</x:f>
        <x:v>10</x:v>
      </x:c>
      <x:c r="N151" s="478" t="n">
        <x:f>'Seasons'!P20</x:f>
        <x:v>14</x:v>
      </x:c>
      <x:c r="O151" s="61" t="n">
        <x:f>1/G151</x:f>
        <x:v>0.0033333333333333335</x:v>
      </x:c>
      <x:c r="P151" s="13" t="n">
        <x:f>J151/G151</x:f>
        <x:v>0.003499999999999999</x:v>
      </x:c>
    </x:row>
    <x:row r="152" ht="25" customHeight="1">
      <x:c r="C152" s="31" t="n">
        <x:v>147</x:v>
      </x:c>
      <x:c r="D152" s="31" t="n">
        <x:v>15</x:v>
      </x:c>
      <x:c r="E152" s="31" t="str">
        <x:v>Midnight Navy &amp; Steel</x:v>
      </x:c>
      <x:c r="F152" s="335" t="str">
        <x:v>#333366</x:v>
      </x:c>
      <x:c r="G152" s="477" t="n">
        <x:f>'Seasons'!F20</x:f>
        <x:v>300</x:v>
      </x:c>
      <x:c r="H152" s="34" t="n">
        <x:f>'Seasons'!G20</x:f>
        <x:v>0.005</x:v>
      </x:c>
      <x:c r="I152" s="36" t="n">
        <x:f>G152*H152</x:f>
        <x:v>1.5</x:v>
      </x:c>
      <x:c r="J152" s="34" t="n">
        <x:f>I152*'Seasons'!H20</x:f>
        <x:v>1.0499999999999998</x:v>
      </x:c>
      <x:c r="K152" s="34" t="n">
        <x:f>I152*'Seasons'!I20</x:f>
        <x:v>0.15000000000000002</x:v>
      </x:c>
      <x:c r="L152" s="36" t="n">
        <x:f>I152-J152-K152</x:f>
        <x:v>0.30000000000000016</x:v>
      </x:c>
      <x:c r="M152" s="477" t="n">
        <x:f>'Seasons'!O20</x:f>
        <x:v>10</x:v>
      </x:c>
      <x:c r="N152" s="477" t="n">
        <x:f>'Seasons'!P20</x:f>
        <x:v>14</x:v>
      </x:c>
      <x:c r="O152" s="37" t="n">
        <x:f>1/G152</x:f>
        <x:v>0.0033333333333333335</x:v>
      </x:c>
      <x:c r="P152" s="36" t="n">
        <x:f>J152/G152</x:f>
        <x:v>0.003499999999999999</x:v>
      </x:c>
    </x:row>
    <x:row r="153" ht="25" customHeight="1">
      <x:c r="C153" s="2" t="n">
        <x:v>148</x:v>
      </x:c>
      <x:c r="D153" s="2" t="n">
        <x:v>15</x:v>
      </x:c>
      <x:c r="E153" s="2" t="str">
        <x:v>Midnight Navy &amp; Steel</x:v>
      </x:c>
      <x:c r="F153" s="337" t="str">
        <x:v>#333399</x:v>
      </x:c>
      <x:c r="G153" s="478" t="n">
        <x:f>'Seasons'!F20</x:f>
        <x:v>300</x:v>
      </x:c>
      <x:c r="H153" s="59" t="n">
        <x:f>'Seasons'!G20</x:f>
        <x:v>0.005</x:v>
      </x:c>
      <x:c r="I153" s="13" t="n">
        <x:f>G153*H153</x:f>
        <x:v>1.5</x:v>
      </x:c>
      <x:c r="J153" s="59" t="n">
        <x:f>I153*'Seasons'!H20</x:f>
        <x:v>1.0499999999999998</x:v>
      </x:c>
      <x:c r="K153" s="59" t="n">
        <x:f>I153*'Seasons'!I20</x:f>
        <x:v>0.15000000000000002</x:v>
      </x:c>
      <x:c r="L153" s="13" t="n">
        <x:f>I153-J153-K153</x:f>
        <x:v>0.30000000000000016</x:v>
      </x:c>
      <x:c r="M153" s="478" t="n">
        <x:f>'Seasons'!O20</x:f>
        <x:v>10</x:v>
      </x:c>
      <x:c r="N153" s="478" t="n">
        <x:f>'Seasons'!P20</x:f>
        <x:v>14</x:v>
      </x:c>
      <x:c r="O153" s="61" t="n">
        <x:f>1/G153</x:f>
        <x:v>0.0033333333333333335</x:v>
      </x:c>
      <x:c r="P153" s="13" t="n">
        <x:f>J153/G153</x:f>
        <x:v>0.003499999999999999</x:v>
      </x:c>
    </x:row>
    <x:row r="154" ht="25" customHeight="1">
      <x:c r="C154" s="31" t="n">
        <x:v>149</x:v>
      </x:c>
      <x:c r="D154" s="31" t="n">
        <x:v>15</x:v>
      </x:c>
      <x:c r="E154" s="31" t="str">
        <x:v>Midnight Navy &amp; Steel</x:v>
      </x:c>
      <x:c r="F154" s="339" t="str">
        <x:v>#3333CC</x:v>
      </x:c>
      <x:c r="G154" s="477" t="n">
        <x:f>'Seasons'!F20</x:f>
        <x:v>300</x:v>
      </x:c>
      <x:c r="H154" s="34" t="n">
        <x:f>'Seasons'!G20</x:f>
        <x:v>0.005</x:v>
      </x:c>
      <x:c r="I154" s="36" t="n">
        <x:f>G154*H154</x:f>
        <x:v>1.5</x:v>
      </x:c>
      <x:c r="J154" s="34" t="n">
        <x:f>I154*'Seasons'!H20</x:f>
        <x:v>1.0499999999999998</x:v>
      </x:c>
      <x:c r="K154" s="34" t="n">
        <x:f>I154*'Seasons'!I20</x:f>
        <x:v>0.15000000000000002</x:v>
      </x:c>
      <x:c r="L154" s="36" t="n">
        <x:f>I154-J154-K154</x:f>
        <x:v>0.30000000000000016</x:v>
      </x:c>
      <x:c r="M154" s="477" t="n">
        <x:f>'Seasons'!O20</x:f>
        <x:v>10</x:v>
      </x:c>
      <x:c r="N154" s="477" t="n">
        <x:f>'Seasons'!P20</x:f>
        <x:v>14</x:v>
      </x:c>
      <x:c r="O154" s="37" t="n">
        <x:f>1/G154</x:f>
        <x:v>0.0033333333333333335</x:v>
      </x:c>
      <x:c r="P154" s="36" t="n">
        <x:f>J154/G154</x:f>
        <x:v>0.003499999999999999</x:v>
      </x:c>
    </x:row>
    <x:row r="155" ht="25" customHeight="1">
      <x:c r="C155" s="2" t="n">
        <x:v>150</x:v>
      </x:c>
      <x:c r="D155" s="2" t="n">
        <x:v>15</x:v>
      </x:c>
      <x:c r="E155" s="2" t="str">
        <x:v>Midnight Navy &amp; Steel</x:v>
      </x:c>
      <x:c r="F155" s="341" t="str">
        <x:v>#3333FF</x:v>
      </x:c>
      <x:c r="G155" s="478" t="n">
        <x:f>'Seasons'!F20</x:f>
        <x:v>300</x:v>
      </x:c>
      <x:c r="H155" s="59" t="n">
        <x:f>'Seasons'!G20</x:f>
        <x:v>0.005</x:v>
      </x:c>
      <x:c r="I155" s="13" t="n">
        <x:f>G155*H155</x:f>
        <x:v>1.5</x:v>
      </x:c>
      <x:c r="J155" s="59" t="n">
        <x:f>I155*'Seasons'!H20</x:f>
        <x:v>1.0499999999999998</x:v>
      </x:c>
      <x:c r="K155" s="59" t="n">
        <x:f>I155*'Seasons'!I20</x:f>
        <x:v>0.15000000000000002</x:v>
      </x:c>
      <x:c r="L155" s="13" t="n">
        <x:f>I155-J155-K155</x:f>
        <x:v>0.30000000000000016</x:v>
      </x:c>
      <x:c r="M155" s="478" t="n">
        <x:f>'Seasons'!O20</x:f>
        <x:v>10</x:v>
      </x:c>
      <x:c r="N155" s="478" t="n">
        <x:f>'Seasons'!P20</x:f>
        <x:v>14</x:v>
      </x:c>
      <x:c r="O155" s="61" t="n">
        <x:f>1/G155</x:f>
        <x:v>0.0033333333333333335</x:v>
      </x:c>
      <x:c r="P155" s="13" t="n">
        <x:f>J155/G155</x:f>
        <x:v>0.003499999999999999</x:v>
      </x:c>
    </x:row>
    <x:row r="156" ht="25" customHeight="1">
      <x:c r="C156" s="31" t="n">
        <x:v>151</x:v>
      </x:c>
      <x:c r="D156" s="31" t="n">
        <x:v>16</x:v>
      </x:c>
      <x:c r="E156" s="31" t="str">
        <x:v>Royal Violet &amp; Indigo</x:v>
      </x:c>
      <x:c r="F156" s="343" t="str">
        <x:v>#660033</x:v>
      </x:c>
      <x:c r="G156" s="477" t="n">
        <x:f>'Seasons'!F21</x:f>
        <x:v>300</x:v>
      </x:c>
      <x:c r="H156" s="34" t="n">
        <x:f>'Seasons'!G21</x:f>
        <x:v>0.005</x:v>
      </x:c>
      <x:c r="I156" s="36" t="n">
        <x:f>G156*H156</x:f>
        <x:v>1.5</x:v>
      </x:c>
      <x:c r="J156" s="34" t="n">
        <x:f>I156*'Seasons'!H21</x:f>
        <x:v>1.0499999999999998</x:v>
      </x:c>
      <x:c r="K156" s="34" t="n">
        <x:f>I156*'Seasons'!I21</x:f>
        <x:v>0.15000000000000002</x:v>
      </x:c>
      <x:c r="L156" s="36" t="n">
        <x:f>I156-J156-K156</x:f>
        <x:v>0.30000000000000016</x:v>
      </x:c>
      <x:c r="M156" s="477" t="n">
        <x:f>'Seasons'!O21</x:f>
        <x:v>10</x:v>
      </x:c>
      <x:c r="N156" s="477" t="n">
        <x:f>'Seasons'!P21</x:f>
        <x:v>14</x:v>
      </x:c>
      <x:c r="O156" s="37" t="n">
        <x:f>1/G156</x:f>
        <x:v>0.0033333333333333335</x:v>
      </x:c>
      <x:c r="P156" s="36" t="n">
        <x:f>J156/G156</x:f>
        <x:v>0.003499999999999999</x:v>
      </x:c>
    </x:row>
    <x:row r="157" ht="25" customHeight="1">
      <x:c r="C157" s="2" t="n">
        <x:v>152</x:v>
      </x:c>
      <x:c r="D157" s="2" t="n">
        <x:v>16</x:v>
      </x:c>
      <x:c r="E157" s="2" t="str">
        <x:v>Royal Violet &amp; Indigo</x:v>
      </x:c>
      <x:c r="F157" s="345" t="str">
        <x:v>#660066</x:v>
      </x:c>
      <x:c r="G157" s="478" t="n">
        <x:f>'Seasons'!F21</x:f>
        <x:v>300</x:v>
      </x:c>
      <x:c r="H157" s="59" t="n">
        <x:f>'Seasons'!G21</x:f>
        <x:v>0.005</x:v>
      </x:c>
      <x:c r="I157" s="13" t="n">
        <x:f>G157*H157</x:f>
        <x:v>1.5</x:v>
      </x:c>
      <x:c r="J157" s="59" t="n">
        <x:f>I157*'Seasons'!H21</x:f>
        <x:v>1.0499999999999998</x:v>
      </x:c>
      <x:c r="K157" s="59" t="n">
        <x:f>I157*'Seasons'!I21</x:f>
        <x:v>0.15000000000000002</x:v>
      </x:c>
      <x:c r="L157" s="13" t="n">
        <x:f>I157-J157-K157</x:f>
        <x:v>0.30000000000000016</x:v>
      </x:c>
      <x:c r="M157" s="478" t="n">
        <x:f>'Seasons'!O21</x:f>
        <x:v>10</x:v>
      </x:c>
      <x:c r="N157" s="478" t="n">
        <x:f>'Seasons'!P21</x:f>
        <x:v>14</x:v>
      </x:c>
      <x:c r="O157" s="61" t="n">
        <x:f>1/G157</x:f>
        <x:v>0.0033333333333333335</x:v>
      </x:c>
      <x:c r="P157" s="13" t="n">
        <x:f>J157/G157</x:f>
        <x:v>0.003499999999999999</x:v>
      </x:c>
    </x:row>
    <x:row r="158" ht="25" customHeight="1">
      <x:c r="C158" s="31" t="n">
        <x:v>153</x:v>
      </x:c>
      <x:c r="D158" s="31" t="n">
        <x:v>16</x:v>
      </x:c>
      <x:c r="E158" s="31" t="str">
        <x:v>Royal Violet &amp; Indigo</x:v>
      </x:c>
      <x:c r="F158" s="347" t="str">
        <x:v>#660099</x:v>
      </x:c>
      <x:c r="G158" s="477" t="n">
        <x:f>'Seasons'!F21</x:f>
        <x:v>300</x:v>
      </x:c>
      <x:c r="H158" s="34" t="n">
        <x:f>'Seasons'!G21</x:f>
        <x:v>0.005</x:v>
      </x:c>
      <x:c r="I158" s="36" t="n">
        <x:f>G158*H158</x:f>
        <x:v>1.5</x:v>
      </x:c>
      <x:c r="J158" s="34" t="n">
        <x:f>I158*'Seasons'!H21</x:f>
        <x:v>1.0499999999999998</x:v>
      </x:c>
      <x:c r="K158" s="34" t="n">
        <x:f>I158*'Seasons'!I21</x:f>
        <x:v>0.15000000000000002</x:v>
      </x:c>
      <x:c r="L158" s="36" t="n">
        <x:f>I158-J158-K158</x:f>
        <x:v>0.30000000000000016</x:v>
      </x:c>
      <x:c r="M158" s="477" t="n">
        <x:f>'Seasons'!O21</x:f>
        <x:v>10</x:v>
      </x:c>
      <x:c r="N158" s="477" t="n">
        <x:f>'Seasons'!P21</x:f>
        <x:v>14</x:v>
      </x:c>
      <x:c r="O158" s="37" t="n">
        <x:f>1/G158</x:f>
        <x:v>0.0033333333333333335</x:v>
      </x:c>
      <x:c r="P158" s="36" t="n">
        <x:f>J158/G158</x:f>
        <x:v>0.003499999999999999</x:v>
      </x:c>
    </x:row>
    <x:row r="159" ht="25" customHeight="1">
      <x:c r="C159" s="2" t="n">
        <x:v>154</x:v>
      </x:c>
      <x:c r="D159" s="2" t="n">
        <x:v>16</x:v>
      </x:c>
      <x:c r="E159" s="2" t="str">
        <x:v>Royal Violet &amp; Indigo</x:v>
      </x:c>
      <x:c r="F159" s="349" t="str">
        <x:v>#6600CC</x:v>
      </x:c>
      <x:c r="G159" s="478" t="n">
        <x:f>'Seasons'!F21</x:f>
        <x:v>300</x:v>
      </x:c>
      <x:c r="H159" s="59" t="n">
        <x:f>'Seasons'!G21</x:f>
        <x:v>0.005</x:v>
      </x:c>
      <x:c r="I159" s="13" t="n">
        <x:f>G159*H159</x:f>
        <x:v>1.5</x:v>
      </x:c>
      <x:c r="J159" s="59" t="n">
        <x:f>I159*'Seasons'!H21</x:f>
        <x:v>1.0499999999999998</x:v>
      </x:c>
      <x:c r="K159" s="59" t="n">
        <x:f>I159*'Seasons'!I21</x:f>
        <x:v>0.15000000000000002</x:v>
      </x:c>
      <x:c r="L159" s="13" t="n">
        <x:f>I159-J159-K159</x:f>
        <x:v>0.30000000000000016</x:v>
      </x:c>
      <x:c r="M159" s="478" t="n">
        <x:f>'Seasons'!O21</x:f>
        <x:v>10</x:v>
      </x:c>
      <x:c r="N159" s="478" t="n">
        <x:f>'Seasons'!P21</x:f>
        <x:v>14</x:v>
      </x:c>
      <x:c r="O159" s="61" t="n">
        <x:f>1/G159</x:f>
        <x:v>0.0033333333333333335</x:v>
      </x:c>
      <x:c r="P159" s="13" t="n">
        <x:f>J159/G159</x:f>
        <x:v>0.003499999999999999</x:v>
      </x:c>
    </x:row>
    <x:row r="160" ht="25" customHeight="1">
      <x:c r="C160" s="31" t="n">
        <x:v>155</x:v>
      </x:c>
      <x:c r="D160" s="31" t="n">
        <x:v>16</x:v>
      </x:c>
      <x:c r="E160" s="31" t="str">
        <x:v>Royal Violet &amp; Indigo</x:v>
      </x:c>
      <x:c r="F160" s="351" t="str">
        <x:v>#6600FF</x:v>
      </x:c>
      <x:c r="G160" s="477" t="n">
        <x:f>'Seasons'!F21</x:f>
        <x:v>300</x:v>
      </x:c>
      <x:c r="H160" s="34" t="n">
        <x:f>'Seasons'!G21</x:f>
        <x:v>0.005</x:v>
      </x:c>
      <x:c r="I160" s="36" t="n">
        <x:f>G160*H160</x:f>
        <x:v>1.5</x:v>
      </x:c>
      <x:c r="J160" s="34" t="n">
        <x:f>I160*'Seasons'!H21</x:f>
        <x:v>1.0499999999999998</x:v>
      </x:c>
      <x:c r="K160" s="34" t="n">
        <x:f>I160*'Seasons'!I21</x:f>
        <x:v>0.15000000000000002</x:v>
      </x:c>
      <x:c r="L160" s="36" t="n">
        <x:f>I160-J160-K160</x:f>
        <x:v>0.30000000000000016</x:v>
      </x:c>
      <x:c r="M160" s="477" t="n">
        <x:f>'Seasons'!O21</x:f>
        <x:v>10</x:v>
      </x:c>
      <x:c r="N160" s="477" t="n">
        <x:f>'Seasons'!P21</x:f>
        <x:v>14</x:v>
      </x:c>
      <x:c r="O160" s="37" t="n">
        <x:f>1/G160</x:f>
        <x:v>0.0033333333333333335</x:v>
      </x:c>
      <x:c r="P160" s="36" t="n">
        <x:f>J160/G160</x:f>
        <x:v>0.003499999999999999</x:v>
      </x:c>
    </x:row>
    <x:row r="161" ht="25" customHeight="1">
      <x:c r="C161" s="2" t="n">
        <x:v>156</x:v>
      </x:c>
      <x:c r="D161" s="2" t="n">
        <x:v>16</x:v>
      </x:c>
      <x:c r="E161" s="2" t="str">
        <x:v>Royal Violet &amp; Indigo</x:v>
      </x:c>
      <x:c r="F161" s="353" t="str">
        <x:v>#990033</x:v>
      </x:c>
      <x:c r="G161" s="478" t="n">
        <x:f>'Seasons'!F21</x:f>
        <x:v>300</x:v>
      </x:c>
      <x:c r="H161" s="59" t="n">
        <x:f>'Seasons'!G21</x:f>
        <x:v>0.005</x:v>
      </x:c>
      <x:c r="I161" s="13" t="n">
        <x:f>G161*H161</x:f>
        <x:v>1.5</x:v>
      </x:c>
      <x:c r="J161" s="59" t="n">
        <x:f>I161*'Seasons'!H21</x:f>
        <x:v>1.0499999999999998</x:v>
      </x:c>
      <x:c r="K161" s="59" t="n">
        <x:f>I161*'Seasons'!I21</x:f>
        <x:v>0.15000000000000002</x:v>
      </x:c>
      <x:c r="L161" s="13" t="n">
        <x:f>I161-J161-K161</x:f>
        <x:v>0.30000000000000016</x:v>
      </x:c>
      <x:c r="M161" s="478" t="n">
        <x:f>'Seasons'!O21</x:f>
        <x:v>10</x:v>
      </x:c>
      <x:c r="N161" s="478" t="n">
        <x:f>'Seasons'!P21</x:f>
        <x:v>14</x:v>
      </x:c>
      <x:c r="O161" s="61" t="n">
        <x:f>1/G161</x:f>
        <x:v>0.0033333333333333335</x:v>
      </x:c>
      <x:c r="P161" s="13" t="n">
        <x:f>J161/G161</x:f>
        <x:v>0.003499999999999999</x:v>
      </x:c>
    </x:row>
    <x:row r="162" ht="25" customHeight="1">
      <x:c r="C162" s="31" t="n">
        <x:v>157</x:v>
      </x:c>
      <x:c r="D162" s="31" t="n">
        <x:v>16</x:v>
      </x:c>
      <x:c r="E162" s="31" t="str">
        <x:v>Royal Violet &amp; Indigo</x:v>
      </x:c>
      <x:c r="F162" s="355" t="str">
        <x:v>#990066</x:v>
      </x:c>
      <x:c r="G162" s="477" t="n">
        <x:f>'Seasons'!F21</x:f>
        <x:v>300</x:v>
      </x:c>
      <x:c r="H162" s="34" t="n">
        <x:f>'Seasons'!G21</x:f>
        <x:v>0.005</x:v>
      </x:c>
      <x:c r="I162" s="36" t="n">
        <x:f>G162*H162</x:f>
        <x:v>1.5</x:v>
      </x:c>
      <x:c r="J162" s="34" t="n">
        <x:f>I162*'Seasons'!H21</x:f>
        <x:v>1.0499999999999998</x:v>
      </x:c>
      <x:c r="K162" s="34" t="n">
        <x:f>I162*'Seasons'!I21</x:f>
        <x:v>0.15000000000000002</x:v>
      </x:c>
      <x:c r="L162" s="36" t="n">
        <x:f>I162-J162-K162</x:f>
        <x:v>0.30000000000000016</x:v>
      </x:c>
      <x:c r="M162" s="477" t="n">
        <x:f>'Seasons'!O21</x:f>
        <x:v>10</x:v>
      </x:c>
      <x:c r="N162" s="477" t="n">
        <x:f>'Seasons'!P21</x:f>
        <x:v>14</x:v>
      </x:c>
      <x:c r="O162" s="37" t="n">
        <x:f>1/G162</x:f>
        <x:v>0.0033333333333333335</x:v>
      </x:c>
      <x:c r="P162" s="36" t="n">
        <x:f>J162/G162</x:f>
        <x:v>0.003499999999999999</x:v>
      </x:c>
    </x:row>
    <x:row r="163" ht="25" customHeight="1">
      <x:c r="C163" s="2" t="n">
        <x:v>158</x:v>
      </x:c>
      <x:c r="D163" s="2" t="n">
        <x:v>16</x:v>
      </x:c>
      <x:c r="E163" s="2" t="str">
        <x:v>Royal Violet &amp; Indigo</x:v>
      </x:c>
      <x:c r="F163" s="357" t="str">
        <x:v>#990099</x:v>
      </x:c>
      <x:c r="G163" s="478" t="n">
        <x:f>'Seasons'!F21</x:f>
        <x:v>300</x:v>
      </x:c>
      <x:c r="H163" s="59" t="n">
        <x:f>'Seasons'!G21</x:f>
        <x:v>0.005</x:v>
      </x:c>
      <x:c r="I163" s="13" t="n">
        <x:f>G163*H163</x:f>
        <x:v>1.5</x:v>
      </x:c>
      <x:c r="J163" s="59" t="n">
        <x:f>I163*'Seasons'!H21</x:f>
        <x:v>1.0499999999999998</x:v>
      </x:c>
      <x:c r="K163" s="59" t="n">
        <x:f>I163*'Seasons'!I21</x:f>
        <x:v>0.15000000000000002</x:v>
      </x:c>
      <x:c r="L163" s="13" t="n">
        <x:f>I163-J163-K163</x:f>
        <x:v>0.30000000000000016</x:v>
      </x:c>
      <x:c r="M163" s="478" t="n">
        <x:f>'Seasons'!O21</x:f>
        <x:v>10</x:v>
      </x:c>
      <x:c r="N163" s="478" t="n">
        <x:f>'Seasons'!P21</x:f>
        <x:v>14</x:v>
      </x:c>
      <x:c r="O163" s="61" t="n">
        <x:f>1/G163</x:f>
        <x:v>0.0033333333333333335</x:v>
      </x:c>
      <x:c r="P163" s="13" t="n">
        <x:f>J163/G163</x:f>
        <x:v>0.003499999999999999</x:v>
      </x:c>
    </x:row>
    <x:row r="164" ht="25" customHeight="1">
      <x:c r="C164" s="31" t="n">
        <x:v>159</x:v>
      </x:c>
      <x:c r="D164" s="31" t="n">
        <x:v>16</x:v>
      </x:c>
      <x:c r="E164" s="31" t="str">
        <x:v>Royal Violet &amp; Indigo</x:v>
      </x:c>
      <x:c r="F164" s="359" t="str">
        <x:v>#9900CC</x:v>
      </x:c>
      <x:c r="G164" s="477" t="n">
        <x:f>'Seasons'!F21</x:f>
        <x:v>300</x:v>
      </x:c>
      <x:c r="H164" s="34" t="n">
        <x:f>'Seasons'!G21</x:f>
        <x:v>0.005</x:v>
      </x:c>
      <x:c r="I164" s="36" t="n">
        <x:f>G164*H164</x:f>
        <x:v>1.5</x:v>
      </x:c>
      <x:c r="J164" s="34" t="n">
        <x:f>I164*'Seasons'!H21</x:f>
        <x:v>1.0499999999999998</x:v>
      </x:c>
      <x:c r="K164" s="34" t="n">
        <x:f>I164*'Seasons'!I21</x:f>
        <x:v>0.15000000000000002</x:v>
      </x:c>
      <x:c r="L164" s="36" t="n">
        <x:f>I164-J164-K164</x:f>
        <x:v>0.30000000000000016</x:v>
      </x:c>
      <x:c r="M164" s="477" t="n">
        <x:f>'Seasons'!O21</x:f>
        <x:v>10</x:v>
      </x:c>
      <x:c r="N164" s="477" t="n">
        <x:f>'Seasons'!P21</x:f>
        <x:v>14</x:v>
      </x:c>
      <x:c r="O164" s="37" t="n">
        <x:f>1/G164</x:f>
        <x:v>0.0033333333333333335</x:v>
      </x:c>
      <x:c r="P164" s="36" t="n">
        <x:f>J164/G164</x:f>
        <x:v>0.003499999999999999</x:v>
      </x:c>
    </x:row>
    <x:row r="165" ht="25" customHeight="1">
      <x:c r="C165" s="2" t="n">
        <x:v>160</x:v>
      </x:c>
      <x:c r="D165" s="2" t="n">
        <x:v>16</x:v>
      </x:c>
      <x:c r="E165" s="2" t="str">
        <x:v>Royal Violet &amp; Indigo</x:v>
      </x:c>
      <x:c r="F165" s="361" t="str">
        <x:v>#9900FF</x:v>
      </x:c>
      <x:c r="G165" s="478" t="n">
        <x:f>'Seasons'!F21</x:f>
        <x:v>300</x:v>
      </x:c>
      <x:c r="H165" s="59" t="n">
        <x:f>'Seasons'!G21</x:f>
        <x:v>0.005</x:v>
      </x:c>
      <x:c r="I165" s="13" t="n">
        <x:f>G165*H165</x:f>
        <x:v>1.5</x:v>
      </x:c>
      <x:c r="J165" s="59" t="n">
        <x:f>I165*'Seasons'!H21</x:f>
        <x:v>1.0499999999999998</x:v>
      </x:c>
      <x:c r="K165" s="59" t="n">
        <x:f>I165*'Seasons'!I21</x:f>
        <x:v>0.15000000000000002</x:v>
      </x:c>
      <x:c r="L165" s="13" t="n">
        <x:f>I165-J165-K165</x:f>
        <x:v>0.30000000000000016</x:v>
      </x:c>
      <x:c r="M165" s="478" t="n">
        <x:f>'Seasons'!O21</x:f>
        <x:v>10</x:v>
      </x:c>
      <x:c r="N165" s="478" t="n">
        <x:f>'Seasons'!P21</x:f>
        <x:v>14</x:v>
      </x:c>
      <x:c r="O165" s="61" t="n">
        <x:f>1/G165</x:f>
        <x:v>0.0033333333333333335</x:v>
      </x:c>
      <x:c r="P165" s="13" t="n">
        <x:f>J165/G165</x:f>
        <x:v>0.003499999999999999</x:v>
      </x:c>
    </x:row>
    <x:row r="166" ht="25" customHeight="1">
      <x:c r="C166" s="31" t="n">
        <x:v>161</x:v>
      </x:c>
      <x:c r="D166" s="31" t="n">
        <x:v>17</x:v>
      </x:c>
      <x:c r="E166" s="31" t="str">
        <x:v>Imperial Amethyst &amp; Plum</x:v>
      </x:c>
      <x:c r="F166" s="363" t="str">
        <x:v>#CC0033</x:v>
      </x:c>
      <x:c r="G166" s="477" t="n">
        <x:f>'Seasons'!F22</x:f>
        <x:v>300</x:v>
      </x:c>
      <x:c r="H166" s="34" t="n">
        <x:f>'Seasons'!G22</x:f>
        <x:v>0.005</x:v>
      </x:c>
      <x:c r="I166" s="36" t="n">
        <x:f>G166*H166</x:f>
        <x:v>1.5</x:v>
      </x:c>
      <x:c r="J166" s="34" t="n">
        <x:f>I166*'Seasons'!H22</x:f>
        <x:v>1.0499999999999998</x:v>
      </x:c>
      <x:c r="K166" s="34" t="n">
        <x:f>I166*'Seasons'!I22</x:f>
        <x:v>0.15000000000000002</x:v>
      </x:c>
      <x:c r="L166" s="36" t="n">
        <x:f>I166-J166-K166</x:f>
        <x:v>0.30000000000000016</x:v>
      </x:c>
      <x:c r="M166" s="477" t="n">
        <x:f>'Seasons'!O22</x:f>
        <x:v>10</x:v>
      </x:c>
      <x:c r="N166" s="477" t="n">
        <x:f>'Seasons'!P22</x:f>
        <x:v>14</x:v>
      </x:c>
      <x:c r="O166" s="37" t="n">
        <x:f>1/G166</x:f>
        <x:v>0.0033333333333333335</x:v>
      </x:c>
      <x:c r="P166" s="36" t="n">
        <x:f>J166/G166</x:f>
        <x:v>0.003499999999999999</x:v>
      </x:c>
    </x:row>
    <x:row r="167" ht="25" customHeight="1">
      <x:c r="C167" s="2" t="n">
        <x:v>162</x:v>
      </x:c>
      <x:c r="D167" s="2" t="n">
        <x:v>17</x:v>
      </x:c>
      <x:c r="E167" s="2" t="str">
        <x:v>Imperial Amethyst &amp; Plum</x:v>
      </x:c>
      <x:c r="F167" s="365" t="str">
        <x:v>#CC0066</x:v>
      </x:c>
      <x:c r="G167" s="478" t="n">
        <x:f>'Seasons'!F22</x:f>
        <x:v>300</x:v>
      </x:c>
      <x:c r="H167" s="59" t="n">
        <x:f>'Seasons'!G22</x:f>
        <x:v>0.005</x:v>
      </x:c>
      <x:c r="I167" s="13" t="n">
        <x:f>G167*H167</x:f>
        <x:v>1.5</x:v>
      </x:c>
      <x:c r="J167" s="59" t="n">
        <x:f>I167*'Seasons'!H22</x:f>
        <x:v>1.0499999999999998</x:v>
      </x:c>
      <x:c r="K167" s="59" t="n">
        <x:f>I167*'Seasons'!I22</x:f>
        <x:v>0.15000000000000002</x:v>
      </x:c>
      <x:c r="L167" s="13" t="n">
        <x:f>I167-J167-K167</x:f>
        <x:v>0.30000000000000016</x:v>
      </x:c>
      <x:c r="M167" s="478" t="n">
        <x:f>'Seasons'!O22</x:f>
        <x:v>10</x:v>
      </x:c>
      <x:c r="N167" s="478" t="n">
        <x:f>'Seasons'!P22</x:f>
        <x:v>14</x:v>
      </x:c>
      <x:c r="O167" s="61" t="n">
        <x:f>1/G167</x:f>
        <x:v>0.0033333333333333335</x:v>
      </x:c>
      <x:c r="P167" s="13" t="n">
        <x:f>J167/G167</x:f>
        <x:v>0.003499999999999999</x:v>
      </x:c>
    </x:row>
    <x:row r="168" ht="25" customHeight="1">
      <x:c r="C168" s="31" t="n">
        <x:v>163</x:v>
      </x:c>
      <x:c r="D168" s="31" t="n">
        <x:v>17</x:v>
      </x:c>
      <x:c r="E168" s="31" t="str">
        <x:v>Imperial Amethyst &amp; Plum</x:v>
      </x:c>
      <x:c r="F168" s="367" t="str">
        <x:v>#CC0099</x:v>
      </x:c>
      <x:c r="G168" s="477" t="n">
        <x:f>'Seasons'!F22</x:f>
        <x:v>300</x:v>
      </x:c>
      <x:c r="H168" s="34" t="n">
        <x:f>'Seasons'!G22</x:f>
        <x:v>0.005</x:v>
      </x:c>
      <x:c r="I168" s="36" t="n">
        <x:f>G168*H168</x:f>
        <x:v>1.5</x:v>
      </x:c>
      <x:c r="J168" s="34" t="n">
        <x:f>I168*'Seasons'!H22</x:f>
        <x:v>1.0499999999999998</x:v>
      </x:c>
      <x:c r="K168" s="34" t="n">
        <x:f>I168*'Seasons'!I22</x:f>
        <x:v>0.15000000000000002</x:v>
      </x:c>
      <x:c r="L168" s="36" t="n">
        <x:f>I168-J168-K168</x:f>
        <x:v>0.30000000000000016</x:v>
      </x:c>
      <x:c r="M168" s="477" t="n">
        <x:f>'Seasons'!O22</x:f>
        <x:v>10</x:v>
      </x:c>
      <x:c r="N168" s="477" t="n">
        <x:f>'Seasons'!P22</x:f>
        <x:v>14</x:v>
      </x:c>
      <x:c r="O168" s="37" t="n">
        <x:f>1/G168</x:f>
        <x:v>0.0033333333333333335</x:v>
      </x:c>
      <x:c r="P168" s="36" t="n">
        <x:f>J168/G168</x:f>
        <x:v>0.003499999999999999</x:v>
      </x:c>
    </x:row>
    <x:row r="169" ht="25" customHeight="1">
      <x:c r="C169" s="2" t="n">
        <x:v>164</x:v>
      </x:c>
      <x:c r="D169" s="2" t="n">
        <x:v>17</x:v>
      </x:c>
      <x:c r="E169" s="2" t="str">
        <x:v>Imperial Amethyst &amp; Plum</x:v>
      </x:c>
      <x:c r="F169" s="369" t="str">
        <x:v>#CC00CC</x:v>
      </x:c>
      <x:c r="G169" s="478" t="n">
        <x:f>'Seasons'!F22</x:f>
        <x:v>300</x:v>
      </x:c>
      <x:c r="H169" s="59" t="n">
        <x:f>'Seasons'!G22</x:f>
        <x:v>0.005</x:v>
      </x:c>
      <x:c r="I169" s="13" t="n">
        <x:f>G169*H169</x:f>
        <x:v>1.5</x:v>
      </x:c>
      <x:c r="J169" s="59" t="n">
        <x:f>I169*'Seasons'!H22</x:f>
        <x:v>1.0499999999999998</x:v>
      </x:c>
      <x:c r="K169" s="59" t="n">
        <x:f>I169*'Seasons'!I22</x:f>
        <x:v>0.15000000000000002</x:v>
      </x:c>
      <x:c r="L169" s="13" t="n">
        <x:f>I169-J169-K169</x:f>
        <x:v>0.30000000000000016</x:v>
      </x:c>
      <x:c r="M169" s="478" t="n">
        <x:f>'Seasons'!O22</x:f>
        <x:v>10</x:v>
      </x:c>
      <x:c r="N169" s="478" t="n">
        <x:f>'Seasons'!P22</x:f>
        <x:v>14</x:v>
      </x:c>
      <x:c r="O169" s="61" t="n">
        <x:f>1/G169</x:f>
        <x:v>0.0033333333333333335</x:v>
      </x:c>
      <x:c r="P169" s="13" t="n">
        <x:f>J169/G169</x:f>
        <x:v>0.003499999999999999</x:v>
      </x:c>
    </x:row>
    <x:row r="170" ht="25" customHeight="1">
      <x:c r="C170" s="31" t="n">
        <x:v>165</x:v>
      </x:c>
      <x:c r="D170" s="31" t="n">
        <x:v>17</x:v>
      </x:c>
      <x:c r="E170" s="31" t="str">
        <x:v>Imperial Amethyst &amp; Plum</x:v>
      </x:c>
      <x:c r="F170" s="371" t="str">
        <x:v>#CC00FF</x:v>
      </x:c>
      <x:c r="G170" s="477" t="n">
        <x:f>'Seasons'!F22</x:f>
        <x:v>300</x:v>
      </x:c>
      <x:c r="H170" s="34" t="n">
        <x:f>'Seasons'!G22</x:f>
        <x:v>0.005</x:v>
      </x:c>
      <x:c r="I170" s="36" t="n">
        <x:f>G170*H170</x:f>
        <x:v>1.5</x:v>
      </x:c>
      <x:c r="J170" s="34" t="n">
        <x:f>I170*'Seasons'!H22</x:f>
        <x:v>1.0499999999999998</x:v>
      </x:c>
      <x:c r="K170" s="34" t="n">
        <x:f>I170*'Seasons'!I22</x:f>
        <x:v>0.15000000000000002</x:v>
      </x:c>
      <x:c r="L170" s="36" t="n">
        <x:f>I170-J170-K170</x:f>
        <x:v>0.30000000000000016</x:v>
      </x:c>
      <x:c r="M170" s="477" t="n">
        <x:f>'Seasons'!O22</x:f>
        <x:v>10</x:v>
      </x:c>
      <x:c r="N170" s="477" t="n">
        <x:f>'Seasons'!P22</x:f>
        <x:v>14</x:v>
      </x:c>
      <x:c r="O170" s="37" t="n">
        <x:f>1/G170</x:f>
        <x:v>0.0033333333333333335</x:v>
      </x:c>
      <x:c r="P170" s="36" t="n">
        <x:f>J170/G170</x:f>
        <x:v>0.003499999999999999</x:v>
      </x:c>
    </x:row>
    <x:row r="171" ht="25" customHeight="1">
      <x:c r="C171" s="2" t="n">
        <x:v>166</x:v>
      </x:c>
      <x:c r="D171" s="2" t="n">
        <x:v>17</x:v>
      </x:c>
      <x:c r="E171" s="2" t="str">
        <x:v>Imperial Amethyst &amp; Plum</x:v>
      </x:c>
      <x:c r="F171" s="373" t="str">
        <x:v>#663366</x:v>
      </x:c>
      <x:c r="G171" s="478" t="n">
        <x:f>'Seasons'!F22</x:f>
        <x:v>300</x:v>
      </x:c>
      <x:c r="H171" s="59" t="n">
        <x:f>'Seasons'!G22</x:f>
        <x:v>0.005</x:v>
      </x:c>
      <x:c r="I171" s="13" t="n">
        <x:f>G171*H171</x:f>
        <x:v>1.5</x:v>
      </x:c>
      <x:c r="J171" s="59" t="n">
        <x:f>I171*'Seasons'!H22</x:f>
        <x:v>1.0499999999999998</x:v>
      </x:c>
      <x:c r="K171" s="59" t="n">
        <x:f>I171*'Seasons'!I22</x:f>
        <x:v>0.15000000000000002</x:v>
      </x:c>
      <x:c r="L171" s="13" t="n">
        <x:f>I171-J171-K171</x:f>
        <x:v>0.30000000000000016</x:v>
      </x:c>
      <x:c r="M171" s="478" t="n">
        <x:f>'Seasons'!O22</x:f>
        <x:v>10</x:v>
      </x:c>
      <x:c r="N171" s="478" t="n">
        <x:f>'Seasons'!P22</x:f>
        <x:v>14</x:v>
      </x:c>
      <x:c r="O171" s="61" t="n">
        <x:f>1/G171</x:f>
        <x:v>0.0033333333333333335</x:v>
      </x:c>
      <x:c r="P171" s="13" t="n">
        <x:f>J171/G171</x:f>
        <x:v>0.003499999999999999</x:v>
      </x:c>
    </x:row>
    <x:row r="172" ht="25" customHeight="1">
      <x:c r="C172" s="31" t="n">
        <x:v>167</x:v>
      </x:c>
      <x:c r="D172" s="31" t="n">
        <x:v>17</x:v>
      </x:c>
      <x:c r="E172" s="31" t="str">
        <x:v>Imperial Amethyst &amp; Plum</x:v>
      </x:c>
      <x:c r="F172" s="375" t="str">
        <x:v>#663399</x:v>
      </x:c>
      <x:c r="G172" s="477" t="n">
        <x:f>'Seasons'!F22</x:f>
        <x:v>300</x:v>
      </x:c>
      <x:c r="H172" s="34" t="n">
        <x:f>'Seasons'!G22</x:f>
        <x:v>0.005</x:v>
      </x:c>
      <x:c r="I172" s="36" t="n">
        <x:f>G172*H172</x:f>
        <x:v>1.5</x:v>
      </x:c>
      <x:c r="J172" s="34" t="n">
        <x:f>I172*'Seasons'!H22</x:f>
        <x:v>1.0499999999999998</x:v>
      </x:c>
      <x:c r="K172" s="34" t="n">
        <x:f>I172*'Seasons'!I22</x:f>
        <x:v>0.15000000000000002</x:v>
      </x:c>
      <x:c r="L172" s="36" t="n">
        <x:f>I172-J172-K172</x:f>
        <x:v>0.30000000000000016</x:v>
      </x:c>
      <x:c r="M172" s="477" t="n">
        <x:f>'Seasons'!O22</x:f>
        <x:v>10</x:v>
      </x:c>
      <x:c r="N172" s="477" t="n">
        <x:f>'Seasons'!P22</x:f>
        <x:v>14</x:v>
      </x:c>
      <x:c r="O172" s="37" t="n">
        <x:f>1/G172</x:f>
        <x:v>0.0033333333333333335</x:v>
      </x:c>
      <x:c r="P172" s="36" t="n">
        <x:f>J172/G172</x:f>
        <x:v>0.003499999999999999</x:v>
      </x:c>
    </x:row>
    <x:row r="173" ht="25" customHeight="1">
      <x:c r="C173" s="2" t="n">
        <x:v>168</x:v>
      </x:c>
      <x:c r="D173" s="2" t="n">
        <x:v>17</x:v>
      </x:c>
      <x:c r="E173" s="2" t="str">
        <x:v>Imperial Amethyst &amp; Plum</x:v>
      </x:c>
      <x:c r="F173" s="377" t="str">
        <x:v>#6633CC</x:v>
      </x:c>
      <x:c r="G173" s="478" t="n">
        <x:f>'Seasons'!F22</x:f>
        <x:v>300</x:v>
      </x:c>
      <x:c r="H173" s="59" t="n">
        <x:f>'Seasons'!G22</x:f>
        <x:v>0.005</x:v>
      </x:c>
      <x:c r="I173" s="13" t="n">
        <x:f>G173*H173</x:f>
        <x:v>1.5</x:v>
      </x:c>
      <x:c r="J173" s="59" t="n">
        <x:f>I173*'Seasons'!H22</x:f>
        <x:v>1.0499999999999998</x:v>
      </x:c>
      <x:c r="K173" s="59" t="n">
        <x:f>I173*'Seasons'!I22</x:f>
        <x:v>0.15000000000000002</x:v>
      </x:c>
      <x:c r="L173" s="13" t="n">
        <x:f>I173-J173-K173</x:f>
        <x:v>0.30000000000000016</x:v>
      </x:c>
      <x:c r="M173" s="478" t="n">
        <x:f>'Seasons'!O22</x:f>
        <x:v>10</x:v>
      </x:c>
      <x:c r="N173" s="478" t="n">
        <x:f>'Seasons'!P22</x:f>
        <x:v>14</x:v>
      </x:c>
      <x:c r="O173" s="61" t="n">
        <x:f>1/G173</x:f>
        <x:v>0.0033333333333333335</x:v>
      </x:c>
      <x:c r="P173" s="13" t="n">
        <x:f>J173/G173</x:f>
        <x:v>0.003499999999999999</x:v>
      </x:c>
    </x:row>
    <x:row r="174" ht="25" customHeight="1">
      <x:c r="C174" s="31" t="n">
        <x:v>169</x:v>
      </x:c>
      <x:c r="D174" s="31" t="n">
        <x:v>17</x:v>
      </x:c>
      <x:c r="E174" s="31" t="str">
        <x:v>Imperial Amethyst &amp; Plum</x:v>
      </x:c>
      <x:c r="F174" s="379" t="str">
        <x:v>#6633FF</x:v>
      </x:c>
      <x:c r="G174" s="477" t="n">
        <x:f>'Seasons'!F22</x:f>
        <x:v>300</x:v>
      </x:c>
      <x:c r="H174" s="34" t="n">
        <x:f>'Seasons'!G22</x:f>
        <x:v>0.005</x:v>
      </x:c>
      <x:c r="I174" s="36" t="n">
        <x:f>G174*H174</x:f>
        <x:v>1.5</x:v>
      </x:c>
      <x:c r="J174" s="34" t="n">
        <x:f>I174*'Seasons'!H22</x:f>
        <x:v>1.0499999999999998</x:v>
      </x:c>
      <x:c r="K174" s="34" t="n">
        <x:f>I174*'Seasons'!I22</x:f>
        <x:v>0.15000000000000002</x:v>
      </x:c>
      <x:c r="L174" s="36" t="n">
        <x:f>I174-J174-K174</x:f>
        <x:v>0.30000000000000016</x:v>
      </x:c>
      <x:c r="M174" s="477" t="n">
        <x:f>'Seasons'!O22</x:f>
        <x:v>10</x:v>
      </x:c>
      <x:c r="N174" s="477" t="n">
        <x:f>'Seasons'!P22</x:f>
        <x:v>14</x:v>
      </x:c>
      <x:c r="O174" s="37" t="n">
        <x:f>1/G174</x:f>
        <x:v>0.0033333333333333335</x:v>
      </x:c>
      <x:c r="P174" s="36" t="n">
        <x:f>J174/G174</x:f>
        <x:v>0.003499999999999999</x:v>
      </x:c>
    </x:row>
    <x:row r="175" ht="25" customHeight="1">
      <x:c r="C175" s="2" t="n">
        <x:v>170</x:v>
      </x:c>
      <x:c r="D175" s="2" t="n">
        <x:v>17</x:v>
      </x:c>
      <x:c r="E175" s="2" t="str">
        <x:v>Imperial Amethyst &amp; Plum</x:v>
      </x:c>
      <x:c r="F175" s="381" t="str">
        <x:v>#993366</x:v>
      </x:c>
      <x:c r="G175" s="478" t="n">
        <x:f>'Seasons'!F22</x:f>
        <x:v>300</x:v>
      </x:c>
      <x:c r="H175" s="59" t="n">
        <x:f>'Seasons'!G22</x:f>
        <x:v>0.005</x:v>
      </x:c>
      <x:c r="I175" s="13" t="n">
        <x:f>G175*H175</x:f>
        <x:v>1.5</x:v>
      </x:c>
      <x:c r="J175" s="59" t="n">
        <x:f>I175*'Seasons'!H22</x:f>
        <x:v>1.0499999999999998</x:v>
      </x:c>
      <x:c r="K175" s="59" t="n">
        <x:f>I175*'Seasons'!I22</x:f>
        <x:v>0.15000000000000002</x:v>
      </x:c>
      <x:c r="L175" s="13" t="n">
        <x:f>I175-J175-K175</x:f>
        <x:v>0.30000000000000016</x:v>
      </x:c>
      <x:c r="M175" s="478" t="n">
        <x:f>'Seasons'!O22</x:f>
        <x:v>10</x:v>
      </x:c>
      <x:c r="N175" s="478" t="n">
        <x:f>'Seasons'!P22</x:f>
        <x:v>14</x:v>
      </x:c>
      <x:c r="O175" s="61" t="n">
        <x:f>1/G175</x:f>
        <x:v>0.0033333333333333335</x:v>
      </x:c>
      <x:c r="P175" s="13" t="n">
        <x:f>J175/G175</x:f>
        <x:v>0.003499999999999999</x:v>
      </x:c>
    </x:row>
    <x:row r="176" ht="25" customHeight="1">
      <x:c r="C176" s="31" t="n">
        <x:v>171</x:v>
      </x:c>
      <x:c r="D176" s="31" t="n">
        <x:v>18</x:v>
      </x:c>
      <x:c r="E176" s="31" t="str">
        <x:v>Orchid &amp; Wild Berry</x:v>
      </x:c>
      <x:c r="F176" s="383" t="str">
        <x:v>#993399</x:v>
      </x:c>
      <x:c r="G176" s="477" t="n">
        <x:f>'Seasons'!F23</x:f>
        <x:v>300</x:v>
      </x:c>
      <x:c r="H176" s="34" t="n">
        <x:f>'Seasons'!G23</x:f>
        <x:v>0.005</x:v>
      </x:c>
      <x:c r="I176" s="36" t="n">
        <x:f>G176*H176</x:f>
        <x:v>1.5</x:v>
      </x:c>
      <x:c r="J176" s="34" t="n">
        <x:f>I176*'Seasons'!H23</x:f>
        <x:v>1.0499999999999998</x:v>
      </x:c>
      <x:c r="K176" s="34" t="n">
        <x:f>I176*'Seasons'!I23</x:f>
        <x:v>0.15000000000000002</x:v>
      </x:c>
      <x:c r="L176" s="36" t="n">
        <x:f>I176-J176-K176</x:f>
        <x:v>0.30000000000000016</x:v>
      </x:c>
      <x:c r="M176" s="477" t="n">
        <x:f>'Seasons'!O23</x:f>
        <x:v>10</x:v>
      </x:c>
      <x:c r="N176" s="477" t="n">
        <x:f>'Seasons'!P23</x:f>
        <x:v>14</x:v>
      </x:c>
      <x:c r="O176" s="37" t="n">
        <x:f>1/G176</x:f>
        <x:v>0.0033333333333333335</x:v>
      </x:c>
      <x:c r="P176" s="36" t="n">
        <x:f>J176/G176</x:f>
        <x:v>0.003499999999999999</x:v>
      </x:c>
    </x:row>
    <x:row r="177" ht="25" customHeight="1">
      <x:c r="C177" s="2" t="n">
        <x:v>172</x:v>
      </x:c>
      <x:c r="D177" s="2" t="n">
        <x:v>18</x:v>
      </x:c>
      <x:c r="E177" s="2" t="str">
        <x:v>Orchid &amp; Wild Berry</x:v>
      </x:c>
      <x:c r="F177" s="385" t="str">
        <x:v>#9933CC</x:v>
      </x:c>
      <x:c r="G177" s="478" t="n">
        <x:f>'Seasons'!F23</x:f>
        <x:v>300</x:v>
      </x:c>
      <x:c r="H177" s="59" t="n">
        <x:f>'Seasons'!G23</x:f>
        <x:v>0.005</x:v>
      </x:c>
      <x:c r="I177" s="13" t="n">
        <x:f>G177*H177</x:f>
        <x:v>1.5</x:v>
      </x:c>
      <x:c r="J177" s="59" t="n">
        <x:f>I177*'Seasons'!H23</x:f>
        <x:v>1.0499999999999998</x:v>
      </x:c>
      <x:c r="K177" s="59" t="n">
        <x:f>I177*'Seasons'!I23</x:f>
        <x:v>0.15000000000000002</x:v>
      </x:c>
      <x:c r="L177" s="13" t="n">
        <x:f>I177-J177-K177</x:f>
        <x:v>0.30000000000000016</x:v>
      </x:c>
      <x:c r="M177" s="478" t="n">
        <x:f>'Seasons'!O23</x:f>
        <x:v>10</x:v>
      </x:c>
      <x:c r="N177" s="478" t="n">
        <x:f>'Seasons'!P23</x:f>
        <x:v>14</x:v>
      </x:c>
      <x:c r="O177" s="61" t="n">
        <x:f>1/G177</x:f>
        <x:v>0.0033333333333333335</x:v>
      </x:c>
      <x:c r="P177" s="13" t="n">
        <x:f>J177/G177</x:f>
        <x:v>0.003499999999999999</x:v>
      </x:c>
    </x:row>
    <x:row r="178" ht="25" customHeight="1">
      <x:c r="C178" s="31" t="n">
        <x:v>173</x:v>
      </x:c>
      <x:c r="D178" s="31" t="n">
        <x:v>18</x:v>
      </x:c>
      <x:c r="E178" s="31" t="str">
        <x:v>Orchid &amp; Wild Berry</x:v>
      </x:c>
      <x:c r="F178" s="387" t="str">
        <x:v>#9933FF</x:v>
      </x:c>
      <x:c r="G178" s="477" t="n">
        <x:f>'Seasons'!F23</x:f>
        <x:v>300</x:v>
      </x:c>
      <x:c r="H178" s="34" t="n">
        <x:f>'Seasons'!G23</x:f>
        <x:v>0.005</x:v>
      </x:c>
      <x:c r="I178" s="36" t="n">
        <x:f>G178*H178</x:f>
        <x:v>1.5</x:v>
      </x:c>
      <x:c r="J178" s="34" t="n">
        <x:f>I178*'Seasons'!H23</x:f>
        <x:v>1.0499999999999998</x:v>
      </x:c>
      <x:c r="K178" s="34" t="n">
        <x:f>I178*'Seasons'!I23</x:f>
        <x:v>0.15000000000000002</x:v>
      </x:c>
      <x:c r="L178" s="36" t="n">
        <x:f>I178-J178-K178</x:f>
        <x:v>0.30000000000000016</x:v>
      </x:c>
      <x:c r="M178" s="477" t="n">
        <x:f>'Seasons'!O23</x:f>
        <x:v>10</x:v>
      </x:c>
      <x:c r="N178" s="477" t="n">
        <x:f>'Seasons'!P23</x:f>
        <x:v>14</x:v>
      </x:c>
      <x:c r="O178" s="37" t="n">
        <x:f>1/G178</x:f>
        <x:v>0.0033333333333333335</x:v>
      </x:c>
      <x:c r="P178" s="36" t="n">
        <x:f>J178/G178</x:f>
        <x:v>0.003499999999999999</x:v>
      </x:c>
    </x:row>
    <x:row r="179" ht="25" customHeight="1">
      <x:c r="C179" s="2" t="n">
        <x:v>174</x:v>
      </x:c>
      <x:c r="D179" s="2" t="n">
        <x:v>18</x:v>
      </x:c>
      <x:c r="E179" s="2" t="str">
        <x:v>Orchid &amp; Wild Berry</x:v>
      </x:c>
      <x:c r="F179" s="389" t="str">
        <x:v>#CC3366</x:v>
      </x:c>
      <x:c r="G179" s="478" t="n">
        <x:f>'Seasons'!F23</x:f>
        <x:v>300</x:v>
      </x:c>
      <x:c r="H179" s="59" t="n">
        <x:f>'Seasons'!G23</x:f>
        <x:v>0.005</x:v>
      </x:c>
      <x:c r="I179" s="13" t="n">
        <x:f>G179*H179</x:f>
        <x:v>1.5</x:v>
      </x:c>
      <x:c r="J179" s="59" t="n">
        <x:f>I179*'Seasons'!H23</x:f>
        <x:v>1.0499999999999998</x:v>
      </x:c>
      <x:c r="K179" s="59" t="n">
        <x:f>I179*'Seasons'!I23</x:f>
        <x:v>0.15000000000000002</x:v>
      </x:c>
      <x:c r="L179" s="13" t="n">
        <x:f>I179-J179-K179</x:f>
        <x:v>0.30000000000000016</x:v>
      </x:c>
      <x:c r="M179" s="478" t="n">
        <x:f>'Seasons'!O23</x:f>
        <x:v>10</x:v>
      </x:c>
      <x:c r="N179" s="478" t="n">
        <x:f>'Seasons'!P23</x:f>
        <x:v>14</x:v>
      </x:c>
      <x:c r="O179" s="61" t="n">
        <x:f>1/G179</x:f>
        <x:v>0.0033333333333333335</x:v>
      </x:c>
      <x:c r="P179" s="13" t="n">
        <x:f>J179/G179</x:f>
        <x:v>0.003499999999999999</x:v>
      </x:c>
    </x:row>
    <x:row r="180" ht="25" customHeight="1">
      <x:c r="C180" s="31" t="n">
        <x:v>175</x:v>
      </x:c>
      <x:c r="D180" s="31" t="n">
        <x:v>18</x:v>
      </x:c>
      <x:c r="E180" s="31" t="str">
        <x:v>Orchid &amp; Wild Berry</x:v>
      </x:c>
      <x:c r="F180" s="391" t="str">
        <x:v>#CC3399</x:v>
      </x:c>
      <x:c r="G180" s="477" t="n">
        <x:f>'Seasons'!F23</x:f>
        <x:v>300</x:v>
      </x:c>
      <x:c r="H180" s="34" t="n">
        <x:f>'Seasons'!G23</x:f>
        <x:v>0.005</x:v>
      </x:c>
      <x:c r="I180" s="36" t="n">
        <x:f>G180*H180</x:f>
        <x:v>1.5</x:v>
      </x:c>
      <x:c r="J180" s="34" t="n">
        <x:f>I180*'Seasons'!H23</x:f>
        <x:v>1.0499999999999998</x:v>
      </x:c>
      <x:c r="K180" s="34" t="n">
        <x:f>I180*'Seasons'!I23</x:f>
        <x:v>0.15000000000000002</x:v>
      </x:c>
      <x:c r="L180" s="36" t="n">
        <x:f>I180-J180-K180</x:f>
        <x:v>0.30000000000000016</x:v>
      </x:c>
      <x:c r="M180" s="477" t="n">
        <x:f>'Seasons'!O23</x:f>
        <x:v>10</x:v>
      </x:c>
      <x:c r="N180" s="477" t="n">
        <x:f>'Seasons'!P23</x:f>
        <x:v>14</x:v>
      </x:c>
      <x:c r="O180" s="37" t="n">
        <x:f>1/G180</x:f>
        <x:v>0.0033333333333333335</x:v>
      </x:c>
      <x:c r="P180" s="36" t="n">
        <x:f>J180/G180</x:f>
        <x:v>0.003499999999999999</x:v>
      </x:c>
    </x:row>
    <x:row r="181" ht="25" customHeight="1">
      <x:c r="C181" s="2" t="n">
        <x:v>176</x:v>
      </x:c>
      <x:c r="D181" s="2" t="n">
        <x:v>18</x:v>
      </x:c>
      <x:c r="E181" s="2" t="str">
        <x:v>Orchid &amp; Wild Berry</x:v>
      </x:c>
      <x:c r="F181" s="393" t="str">
        <x:v>#CC33CC</x:v>
      </x:c>
      <x:c r="G181" s="478" t="n">
        <x:f>'Seasons'!F23</x:f>
        <x:v>300</x:v>
      </x:c>
      <x:c r="H181" s="59" t="n">
        <x:f>'Seasons'!G23</x:f>
        <x:v>0.005</x:v>
      </x:c>
      <x:c r="I181" s="13" t="n">
        <x:f>G181*H181</x:f>
        <x:v>1.5</x:v>
      </x:c>
      <x:c r="J181" s="59" t="n">
        <x:f>I181*'Seasons'!H23</x:f>
        <x:v>1.0499999999999998</x:v>
      </x:c>
      <x:c r="K181" s="59" t="n">
        <x:f>I181*'Seasons'!I23</x:f>
        <x:v>0.15000000000000002</x:v>
      </x:c>
      <x:c r="L181" s="13" t="n">
        <x:f>I181-J181-K181</x:f>
        <x:v>0.30000000000000016</x:v>
      </x:c>
      <x:c r="M181" s="478" t="n">
        <x:f>'Seasons'!O23</x:f>
        <x:v>10</x:v>
      </x:c>
      <x:c r="N181" s="478" t="n">
        <x:f>'Seasons'!P23</x:f>
        <x:v>14</x:v>
      </x:c>
      <x:c r="O181" s="61" t="n">
        <x:f>1/G181</x:f>
        <x:v>0.0033333333333333335</x:v>
      </x:c>
      <x:c r="P181" s="13" t="n">
        <x:f>J181/G181</x:f>
        <x:v>0.003499999999999999</x:v>
      </x:c>
    </x:row>
    <x:row r="182" ht="25" customHeight="1">
      <x:c r="C182" s="31" t="n">
        <x:v>177</x:v>
      </x:c>
      <x:c r="D182" s="31" t="n">
        <x:v>18</x:v>
      </x:c>
      <x:c r="E182" s="31" t="str">
        <x:v>Orchid &amp; Wild Berry</x:v>
      </x:c>
      <x:c r="F182" s="395" t="str">
        <x:v>#CC33FF</x:v>
      </x:c>
      <x:c r="G182" s="477" t="n">
        <x:f>'Seasons'!F23</x:f>
        <x:v>300</x:v>
      </x:c>
      <x:c r="H182" s="34" t="n">
        <x:f>'Seasons'!G23</x:f>
        <x:v>0.005</x:v>
      </x:c>
      <x:c r="I182" s="36" t="n">
        <x:f>G182*H182</x:f>
        <x:v>1.5</x:v>
      </x:c>
      <x:c r="J182" s="34" t="n">
        <x:f>I182*'Seasons'!H23</x:f>
        <x:v>1.0499999999999998</x:v>
      </x:c>
      <x:c r="K182" s="34" t="n">
        <x:f>I182*'Seasons'!I23</x:f>
        <x:v>0.15000000000000002</x:v>
      </x:c>
      <x:c r="L182" s="36" t="n">
        <x:f>I182-J182-K182</x:f>
        <x:v>0.30000000000000016</x:v>
      </x:c>
      <x:c r="M182" s="477" t="n">
        <x:f>'Seasons'!O23</x:f>
        <x:v>10</x:v>
      </x:c>
      <x:c r="N182" s="477" t="n">
        <x:f>'Seasons'!P23</x:f>
        <x:v>14</x:v>
      </x:c>
      <x:c r="O182" s="37" t="n">
        <x:f>1/G182</x:f>
        <x:v>0.0033333333333333335</x:v>
      </x:c>
      <x:c r="P182" s="36" t="n">
        <x:f>J182/G182</x:f>
        <x:v>0.003499999999999999</x:v>
      </x:c>
    </x:row>
    <x:row r="183" ht="25" customHeight="1">
      <x:c r="C183" s="2" t="n">
        <x:v>178</x:v>
      </x:c>
      <x:c r="D183" s="2" t="n">
        <x:v>18</x:v>
      </x:c>
      <x:c r="E183" s="2" t="str">
        <x:v>Orchid &amp; Wild Berry</x:v>
      </x:c>
      <x:c r="F183" s="397" t="str">
        <x:v>#996699</x:v>
      </x:c>
      <x:c r="G183" s="478" t="n">
        <x:f>'Seasons'!F23</x:f>
        <x:v>300</x:v>
      </x:c>
      <x:c r="H183" s="59" t="n">
        <x:f>'Seasons'!G23</x:f>
        <x:v>0.005</x:v>
      </x:c>
      <x:c r="I183" s="13" t="n">
        <x:f>G183*H183</x:f>
        <x:v>1.5</x:v>
      </x:c>
      <x:c r="J183" s="59" t="n">
        <x:f>I183*'Seasons'!H23</x:f>
        <x:v>1.0499999999999998</x:v>
      </x:c>
      <x:c r="K183" s="59" t="n">
        <x:f>I183*'Seasons'!I23</x:f>
        <x:v>0.15000000000000002</x:v>
      </x:c>
      <x:c r="L183" s="13" t="n">
        <x:f>I183-J183-K183</x:f>
        <x:v>0.30000000000000016</x:v>
      </x:c>
      <x:c r="M183" s="478" t="n">
        <x:f>'Seasons'!O23</x:f>
        <x:v>10</x:v>
      </x:c>
      <x:c r="N183" s="478" t="n">
        <x:f>'Seasons'!P23</x:f>
        <x:v>14</x:v>
      </x:c>
      <x:c r="O183" s="61" t="n">
        <x:f>1/G183</x:f>
        <x:v>0.0033333333333333335</x:v>
      </x:c>
      <x:c r="P183" s="13" t="n">
        <x:f>J183/G183</x:f>
        <x:v>0.003499999999999999</x:v>
      </x:c>
    </x:row>
    <x:row r="184" ht="25" customHeight="1">
      <x:c r="C184" s="31" t="n">
        <x:v>179</x:v>
      </x:c>
      <x:c r="D184" s="31" t="n">
        <x:v>18</x:v>
      </x:c>
      <x:c r="E184" s="31" t="str">
        <x:v>Orchid &amp; Wild Berry</x:v>
      </x:c>
      <x:c r="F184" s="399" t="str">
        <x:v>#9966CC</x:v>
      </x:c>
      <x:c r="G184" s="477" t="n">
        <x:f>'Seasons'!F23</x:f>
        <x:v>300</x:v>
      </x:c>
      <x:c r="H184" s="34" t="n">
        <x:f>'Seasons'!G23</x:f>
        <x:v>0.005</x:v>
      </x:c>
      <x:c r="I184" s="36" t="n">
        <x:f>G184*H184</x:f>
        <x:v>1.5</x:v>
      </x:c>
      <x:c r="J184" s="34" t="n">
        <x:f>I184*'Seasons'!H23</x:f>
        <x:v>1.0499999999999998</x:v>
      </x:c>
      <x:c r="K184" s="34" t="n">
        <x:f>I184*'Seasons'!I23</x:f>
        <x:v>0.15000000000000002</x:v>
      </x:c>
      <x:c r="L184" s="36" t="n">
        <x:f>I184-J184-K184</x:f>
        <x:v>0.30000000000000016</x:v>
      </x:c>
      <x:c r="M184" s="477" t="n">
        <x:f>'Seasons'!O23</x:f>
        <x:v>10</x:v>
      </x:c>
      <x:c r="N184" s="477" t="n">
        <x:f>'Seasons'!P23</x:f>
        <x:v>14</x:v>
      </x:c>
      <x:c r="O184" s="37" t="n">
        <x:f>1/G184</x:f>
        <x:v>0.0033333333333333335</x:v>
      </x:c>
      <x:c r="P184" s="36" t="n">
        <x:f>J184/G184</x:f>
        <x:v>0.003499999999999999</x:v>
      </x:c>
    </x:row>
    <x:row r="185" ht="25" customHeight="1">
      <x:c r="C185" s="2" t="n">
        <x:v>180</x:v>
      </x:c>
      <x:c r="D185" s="2" t="n">
        <x:v>18</x:v>
      </x:c>
      <x:c r="E185" s="2" t="str">
        <x:v>Orchid &amp; Wild Berry</x:v>
      </x:c>
      <x:c r="F185" s="401" t="str">
        <x:v>#9966FF</x:v>
      </x:c>
      <x:c r="G185" s="478" t="n">
        <x:f>'Seasons'!F23</x:f>
        <x:v>300</x:v>
      </x:c>
      <x:c r="H185" s="59" t="n">
        <x:f>'Seasons'!G23</x:f>
        <x:v>0.005</x:v>
      </x:c>
      <x:c r="I185" s="13" t="n">
        <x:f>G185*H185</x:f>
        <x:v>1.5</x:v>
      </x:c>
      <x:c r="J185" s="59" t="n">
        <x:f>I185*'Seasons'!H23</x:f>
        <x:v>1.0499999999999998</x:v>
      </x:c>
      <x:c r="K185" s="59" t="n">
        <x:f>I185*'Seasons'!I23</x:f>
        <x:v>0.15000000000000002</x:v>
      </x:c>
      <x:c r="L185" s="13" t="n">
        <x:f>I185-J185-K185</x:f>
        <x:v>0.30000000000000016</x:v>
      </x:c>
      <x:c r="M185" s="478" t="n">
        <x:f>'Seasons'!O23</x:f>
        <x:v>10</x:v>
      </x:c>
      <x:c r="N185" s="478" t="n">
        <x:f>'Seasons'!P23</x:f>
        <x:v>14</x:v>
      </x:c>
      <x:c r="O185" s="61" t="n">
        <x:f>1/G185</x:f>
        <x:v>0.0033333333333333335</x:v>
      </x:c>
      <x:c r="P185" s="13" t="n">
        <x:f>J185/G185</x:f>
        <x:v>0.003499999999999999</x:v>
      </x:c>
    </x:row>
    <x:row r="186" ht="25" customHeight="1">
      <x:c r="C186" s="31" t="n">
        <x:v>181</x:v>
      </x:c>
      <x:c r="D186" s="31" t="n">
        <x:v>19</x:v>
      </x:c>
      <x:c r="E186" s="31" t="str">
        <x:v>Vivid Fuchsia &amp; Magenta</x:v>
      </x:c>
      <x:c r="F186" s="403" t="str">
        <x:v>#FF0033</x:v>
      </x:c>
      <x:c r="G186" s="477" t="n">
        <x:f>'Seasons'!F24</x:f>
        <x:v>400</x:v>
      </x:c>
      <x:c r="H186" s="34" t="n">
        <x:f>'Seasons'!G24</x:f>
        <x:v>0.005</x:v>
      </x:c>
      <x:c r="I186" s="36" t="n">
        <x:f>G186*H186</x:f>
        <x:v>2</x:v>
      </x:c>
      <x:c r="J186" s="34" t="n">
        <x:f>I186*'Seasons'!H24</x:f>
        <x:v>1.4</x:v>
      </x:c>
      <x:c r="K186" s="34" t="n">
        <x:f>I186*'Seasons'!I24</x:f>
        <x:v>0.2</x:v>
      </x:c>
      <x:c r="L186" s="36" t="n">
        <x:f>I186-J186-K186</x:f>
        <x:v>0.4000000000000001</x:v>
      </x:c>
      <x:c r="M186" s="477" t="n">
        <x:f>'Seasons'!O24</x:f>
        <x:v>15</x:v>
      </x:c>
      <x:c r="N186" s="477" t="n">
        <x:f>'Seasons'!P24</x:f>
        <x:v>14</x:v>
      </x:c>
      <x:c r="O186" s="37" t="n">
        <x:f>1/G186</x:f>
        <x:v>0.0025</x:v>
      </x:c>
      <x:c r="P186" s="36" t="n">
        <x:f>J186/G186</x:f>
        <x:v>0.0034999999999999996</x:v>
      </x:c>
    </x:row>
    <x:row r="187" ht="25" customHeight="1">
      <x:c r="C187" s="2" t="n">
        <x:v>182</x:v>
      </x:c>
      <x:c r="D187" s="2" t="n">
        <x:v>19</x:v>
      </x:c>
      <x:c r="E187" s="2" t="str">
        <x:v>Vivid Fuchsia &amp; Magenta</x:v>
      </x:c>
      <x:c r="F187" s="405" t="str">
        <x:v>#FF0066</x:v>
      </x:c>
      <x:c r="G187" s="478" t="n">
        <x:f>'Seasons'!F24</x:f>
        <x:v>400</x:v>
      </x:c>
      <x:c r="H187" s="59" t="n">
        <x:f>'Seasons'!G24</x:f>
        <x:v>0.005</x:v>
      </x:c>
      <x:c r="I187" s="13" t="n">
        <x:f>G187*H187</x:f>
        <x:v>2</x:v>
      </x:c>
      <x:c r="J187" s="59" t="n">
        <x:f>I187*'Seasons'!H24</x:f>
        <x:v>1.4</x:v>
      </x:c>
      <x:c r="K187" s="59" t="n">
        <x:f>I187*'Seasons'!I24</x:f>
        <x:v>0.2</x:v>
      </x:c>
      <x:c r="L187" s="13" t="n">
        <x:f>I187-J187-K187</x:f>
        <x:v>0.4000000000000001</x:v>
      </x:c>
      <x:c r="M187" s="478" t="n">
        <x:f>'Seasons'!O24</x:f>
        <x:v>15</x:v>
      </x:c>
      <x:c r="N187" s="478" t="n">
        <x:f>'Seasons'!P24</x:f>
        <x:v>14</x:v>
      </x:c>
      <x:c r="O187" s="61" t="n">
        <x:f>1/G187</x:f>
        <x:v>0.0025</x:v>
      </x:c>
      <x:c r="P187" s="13" t="n">
        <x:f>J187/G187</x:f>
        <x:v>0.0034999999999999996</x:v>
      </x:c>
    </x:row>
    <x:row r="188" ht="25" customHeight="1">
      <x:c r="C188" s="31" t="n">
        <x:v>183</x:v>
      </x:c>
      <x:c r="D188" s="31" t="n">
        <x:v>19</x:v>
      </x:c>
      <x:c r="E188" s="31" t="str">
        <x:v>Vivid Fuchsia &amp; Magenta</x:v>
      </x:c>
      <x:c r="F188" s="407" t="str">
        <x:v>#FF0099</x:v>
      </x:c>
      <x:c r="G188" s="477" t="n">
        <x:f>'Seasons'!F24</x:f>
        <x:v>400</x:v>
      </x:c>
      <x:c r="H188" s="34" t="n">
        <x:f>'Seasons'!G24</x:f>
        <x:v>0.005</x:v>
      </x:c>
      <x:c r="I188" s="36" t="n">
        <x:f>G188*H188</x:f>
        <x:v>2</x:v>
      </x:c>
      <x:c r="J188" s="34" t="n">
        <x:f>I188*'Seasons'!H24</x:f>
        <x:v>1.4</x:v>
      </x:c>
      <x:c r="K188" s="34" t="n">
        <x:f>I188*'Seasons'!I24</x:f>
        <x:v>0.2</x:v>
      </x:c>
      <x:c r="L188" s="36" t="n">
        <x:f>I188-J188-K188</x:f>
        <x:v>0.4000000000000001</x:v>
      </x:c>
      <x:c r="M188" s="477" t="n">
        <x:f>'Seasons'!O24</x:f>
        <x:v>15</x:v>
      </x:c>
      <x:c r="N188" s="477" t="n">
        <x:f>'Seasons'!P24</x:f>
        <x:v>14</x:v>
      </x:c>
      <x:c r="O188" s="37" t="n">
        <x:f>1/G188</x:f>
        <x:v>0.0025</x:v>
      </x:c>
      <x:c r="P188" s="36" t="n">
        <x:f>J188/G188</x:f>
        <x:v>0.0034999999999999996</x:v>
      </x:c>
    </x:row>
    <x:row r="189" ht="25" customHeight="1">
      <x:c r="C189" s="2" t="n">
        <x:v>184</x:v>
      </x:c>
      <x:c r="D189" s="2" t="n">
        <x:v>19</x:v>
      </x:c>
      <x:c r="E189" s="2" t="str">
        <x:v>Vivid Fuchsia &amp; Magenta</x:v>
      </x:c>
      <x:c r="F189" s="409" t="str">
        <x:v>#FF00CC</x:v>
      </x:c>
      <x:c r="G189" s="478" t="n">
        <x:f>'Seasons'!F24</x:f>
        <x:v>400</x:v>
      </x:c>
      <x:c r="H189" s="59" t="n">
        <x:f>'Seasons'!G24</x:f>
        <x:v>0.005</x:v>
      </x:c>
      <x:c r="I189" s="13" t="n">
        <x:f>G189*H189</x:f>
        <x:v>2</x:v>
      </x:c>
      <x:c r="J189" s="59" t="n">
        <x:f>I189*'Seasons'!H24</x:f>
        <x:v>1.4</x:v>
      </x:c>
      <x:c r="K189" s="59" t="n">
        <x:f>I189*'Seasons'!I24</x:f>
        <x:v>0.2</x:v>
      </x:c>
      <x:c r="L189" s="13" t="n">
        <x:f>I189-J189-K189</x:f>
        <x:v>0.4000000000000001</x:v>
      </x:c>
      <x:c r="M189" s="478" t="n">
        <x:f>'Seasons'!O24</x:f>
        <x:v>15</x:v>
      </x:c>
      <x:c r="N189" s="478" t="n">
        <x:f>'Seasons'!P24</x:f>
        <x:v>14</x:v>
      </x:c>
      <x:c r="O189" s="61" t="n">
        <x:f>1/G189</x:f>
        <x:v>0.0025</x:v>
      </x:c>
      <x:c r="P189" s="13" t="n">
        <x:f>J189/G189</x:f>
        <x:v>0.0034999999999999996</x:v>
      </x:c>
    </x:row>
    <x:row r="190" ht="25" customHeight="1">
      <x:c r="C190" s="31" t="n">
        <x:v>185</x:v>
      </x:c>
      <x:c r="D190" s="31" t="n">
        <x:v>19</x:v>
      </x:c>
      <x:c r="E190" s="31" t="str">
        <x:v>Vivid Fuchsia &amp; Magenta</x:v>
      </x:c>
      <x:c r="F190" s="411" t="str">
        <x:v>#FF00FF</x:v>
      </x:c>
      <x:c r="G190" s="477" t="n">
        <x:f>'Seasons'!F24</x:f>
        <x:v>400</x:v>
      </x:c>
      <x:c r="H190" s="34" t="n">
        <x:f>'Seasons'!G24</x:f>
        <x:v>0.005</x:v>
      </x:c>
      <x:c r="I190" s="36" t="n">
        <x:f>G190*H190</x:f>
        <x:v>2</x:v>
      </x:c>
      <x:c r="J190" s="34" t="n">
        <x:f>I190*'Seasons'!H24</x:f>
        <x:v>1.4</x:v>
      </x:c>
      <x:c r="K190" s="34" t="n">
        <x:f>I190*'Seasons'!I24</x:f>
        <x:v>0.2</x:v>
      </x:c>
      <x:c r="L190" s="36" t="n">
        <x:f>I190-J190-K190</x:f>
        <x:v>0.4000000000000001</x:v>
      </x:c>
      <x:c r="M190" s="477" t="n">
        <x:f>'Seasons'!O24</x:f>
        <x:v>15</x:v>
      </x:c>
      <x:c r="N190" s="477" t="n">
        <x:f>'Seasons'!P24</x:f>
        <x:v>14</x:v>
      </x:c>
      <x:c r="O190" s="37" t="n">
        <x:f>1/G190</x:f>
        <x:v>0.0025</x:v>
      </x:c>
      <x:c r="P190" s="36" t="n">
        <x:f>J190/G190</x:f>
        <x:v>0.0034999999999999996</x:v>
      </x:c>
    </x:row>
    <x:row r="191" ht="25" customHeight="1">
      <x:c r="C191" s="2" t="n">
        <x:v>186</x:v>
      </x:c>
      <x:c r="D191" s="2" t="n">
        <x:v>19</x:v>
      </x:c>
      <x:c r="E191" s="2" t="str">
        <x:v>Vivid Fuchsia &amp; Magenta</x:v>
      </x:c>
      <x:c r="F191" s="413" t="str">
        <x:v>#FF3366</x:v>
      </x:c>
      <x:c r="G191" s="478" t="n">
        <x:f>'Seasons'!F24</x:f>
        <x:v>400</x:v>
      </x:c>
      <x:c r="H191" s="59" t="n">
        <x:f>'Seasons'!G24</x:f>
        <x:v>0.005</x:v>
      </x:c>
      <x:c r="I191" s="13" t="n">
        <x:f>G191*H191</x:f>
        <x:v>2</x:v>
      </x:c>
      <x:c r="J191" s="59" t="n">
        <x:f>I191*'Seasons'!H24</x:f>
        <x:v>1.4</x:v>
      </x:c>
      <x:c r="K191" s="59" t="n">
        <x:f>I191*'Seasons'!I24</x:f>
        <x:v>0.2</x:v>
      </x:c>
      <x:c r="L191" s="13" t="n">
        <x:f>I191-J191-K191</x:f>
        <x:v>0.4000000000000001</x:v>
      </x:c>
      <x:c r="M191" s="478" t="n">
        <x:f>'Seasons'!O24</x:f>
        <x:v>15</x:v>
      </x:c>
      <x:c r="N191" s="478" t="n">
        <x:f>'Seasons'!P24</x:f>
        <x:v>14</x:v>
      </x:c>
      <x:c r="O191" s="61" t="n">
        <x:f>1/G191</x:f>
        <x:v>0.0025</x:v>
      </x:c>
      <x:c r="P191" s="13" t="n">
        <x:f>J191/G191</x:f>
        <x:v>0.0034999999999999996</x:v>
      </x:c>
    </x:row>
    <x:row r="192" ht="25" customHeight="1">
      <x:c r="C192" s="31" t="n">
        <x:v>187</x:v>
      </x:c>
      <x:c r="D192" s="31" t="n">
        <x:v>19</x:v>
      </x:c>
      <x:c r="E192" s="31" t="str">
        <x:v>Vivid Fuchsia &amp; Magenta</x:v>
      </x:c>
      <x:c r="F192" s="415" t="str">
        <x:v>#FF3399</x:v>
      </x:c>
      <x:c r="G192" s="477" t="n">
        <x:f>'Seasons'!F24</x:f>
        <x:v>400</x:v>
      </x:c>
      <x:c r="H192" s="34" t="n">
        <x:f>'Seasons'!G24</x:f>
        <x:v>0.005</x:v>
      </x:c>
      <x:c r="I192" s="36" t="n">
        <x:f>G192*H192</x:f>
        <x:v>2</x:v>
      </x:c>
      <x:c r="J192" s="34" t="n">
        <x:f>I192*'Seasons'!H24</x:f>
        <x:v>1.4</x:v>
      </x:c>
      <x:c r="K192" s="34" t="n">
        <x:f>I192*'Seasons'!I24</x:f>
        <x:v>0.2</x:v>
      </x:c>
      <x:c r="L192" s="36" t="n">
        <x:f>I192-J192-K192</x:f>
        <x:v>0.4000000000000001</x:v>
      </x:c>
      <x:c r="M192" s="477" t="n">
        <x:f>'Seasons'!O24</x:f>
        <x:v>15</x:v>
      </x:c>
      <x:c r="N192" s="477" t="n">
        <x:f>'Seasons'!P24</x:f>
        <x:v>14</x:v>
      </x:c>
      <x:c r="O192" s="37" t="n">
        <x:f>1/G192</x:f>
        <x:v>0.0025</x:v>
      </x:c>
      <x:c r="P192" s="36" t="n">
        <x:f>J192/G192</x:f>
        <x:v>0.0034999999999999996</x:v>
      </x:c>
    </x:row>
    <x:row r="193" ht="25" customHeight="1">
      <x:c r="C193" s="2" t="n">
        <x:v>188</x:v>
      </x:c>
      <x:c r="D193" s="2" t="n">
        <x:v>19</x:v>
      </x:c>
      <x:c r="E193" s="2" t="str">
        <x:v>Vivid Fuchsia &amp; Magenta</x:v>
      </x:c>
      <x:c r="F193" s="417" t="str">
        <x:v>#FF33CC</x:v>
      </x:c>
      <x:c r="G193" s="478" t="n">
        <x:f>'Seasons'!F24</x:f>
        <x:v>400</x:v>
      </x:c>
      <x:c r="H193" s="59" t="n">
        <x:f>'Seasons'!G24</x:f>
        <x:v>0.005</x:v>
      </x:c>
      <x:c r="I193" s="13" t="n">
        <x:f>G193*H193</x:f>
        <x:v>2</x:v>
      </x:c>
      <x:c r="J193" s="59" t="n">
        <x:f>I193*'Seasons'!H24</x:f>
        <x:v>1.4</x:v>
      </x:c>
      <x:c r="K193" s="59" t="n">
        <x:f>I193*'Seasons'!I24</x:f>
        <x:v>0.2</x:v>
      </x:c>
      <x:c r="L193" s="13" t="n">
        <x:f>I193-J193-K193</x:f>
        <x:v>0.4000000000000001</x:v>
      </x:c>
      <x:c r="M193" s="478" t="n">
        <x:f>'Seasons'!O24</x:f>
        <x:v>15</x:v>
      </x:c>
      <x:c r="N193" s="478" t="n">
        <x:f>'Seasons'!P24</x:f>
        <x:v>14</x:v>
      </x:c>
      <x:c r="O193" s="61" t="n">
        <x:f>1/G193</x:f>
        <x:v>0.0025</x:v>
      </x:c>
      <x:c r="P193" s="13" t="n">
        <x:f>J193/G193</x:f>
        <x:v>0.0034999999999999996</x:v>
      </x:c>
    </x:row>
    <x:row r="194" ht="25" customHeight="1">
      <x:c r="C194" s="31" t="n">
        <x:v>189</x:v>
      </x:c>
      <x:c r="D194" s="31" t="n">
        <x:v>19</x:v>
      </x:c>
      <x:c r="E194" s="31" t="str">
        <x:v>Vivid Fuchsia &amp; Magenta</x:v>
      </x:c>
      <x:c r="F194" s="419" t="str">
        <x:v>#FF33FF</x:v>
      </x:c>
      <x:c r="G194" s="477" t="n">
        <x:f>'Seasons'!F24</x:f>
        <x:v>400</x:v>
      </x:c>
      <x:c r="H194" s="34" t="n">
        <x:f>'Seasons'!G24</x:f>
        <x:v>0.005</x:v>
      </x:c>
      <x:c r="I194" s="36" t="n">
        <x:f>G194*H194</x:f>
        <x:v>2</x:v>
      </x:c>
      <x:c r="J194" s="34" t="n">
        <x:f>I194*'Seasons'!H24</x:f>
        <x:v>1.4</x:v>
      </x:c>
      <x:c r="K194" s="34" t="n">
        <x:f>I194*'Seasons'!I24</x:f>
        <x:v>0.2</x:v>
      </x:c>
      <x:c r="L194" s="36" t="n">
        <x:f>I194-J194-K194</x:f>
        <x:v>0.4000000000000001</x:v>
      </x:c>
      <x:c r="M194" s="477" t="n">
        <x:f>'Seasons'!O24</x:f>
        <x:v>15</x:v>
      </x:c>
      <x:c r="N194" s="477" t="n">
        <x:f>'Seasons'!P24</x:f>
        <x:v>14</x:v>
      </x:c>
      <x:c r="O194" s="37" t="n">
        <x:f>1/G194</x:f>
        <x:v>0.0025</x:v>
      </x:c>
      <x:c r="P194" s="36" t="n">
        <x:f>J194/G194</x:f>
        <x:v>0.0034999999999999996</x:v>
      </x:c>
    </x:row>
    <x:row r="195" ht="25" customHeight="1">
      <x:c r="C195" s="2" t="n">
        <x:v>190</x:v>
      </x:c>
      <x:c r="D195" s="2" t="n">
        <x:v>19</x:v>
      </x:c>
      <x:c r="E195" s="2" t="str">
        <x:v>Vivid Fuchsia &amp; Magenta</x:v>
      </x:c>
      <x:c r="F195" s="421" t="str">
        <x:v>#CC6699</x:v>
      </x:c>
      <x:c r="G195" s="478" t="n">
        <x:f>'Seasons'!F24</x:f>
        <x:v>400</x:v>
      </x:c>
      <x:c r="H195" s="59" t="n">
        <x:f>'Seasons'!G24</x:f>
        <x:v>0.005</x:v>
      </x:c>
      <x:c r="I195" s="13" t="n">
        <x:f>G195*H195</x:f>
        <x:v>2</x:v>
      </x:c>
      <x:c r="J195" s="59" t="n">
        <x:f>I195*'Seasons'!H24</x:f>
        <x:v>1.4</x:v>
      </x:c>
      <x:c r="K195" s="59" t="n">
        <x:f>I195*'Seasons'!I24</x:f>
        <x:v>0.2</x:v>
      </x:c>
      <x:c r="L195" s="13" t="n">
        <x:f>I195-J195-K195</x:f>
        <x:v>0.4000000000000001</x:v>
      </x:c>
      <x:c r="M195" s="478" t="n">
        <x:f>'Seasons'!O24</x:f>
        <x:v>15</x:v>
      </x:c>
      <x:c r="N195" s="478" t="n">
        <x:f>'Seasons'!P24</x:f>
        <x:v>14</x:v>
      </x:c>
      <x:c r="O195" s="61" t="n">
        <x:f>1/G195</x:f>
        <x:v>0.0025</x:v>
      </x:c>
      <x:c r="P195" s="13" t="n">
        <x:f>J195/G195</x:f>
        <x:v>0.0034999999999999996</x:v>
      </x:c>
    </x:row>
    <x:row r="196" ht="25" customHeight="1">
      <x:c r="C196" s="31" t="n">
        <x:v>191</x:v>
      </x:c>
      <x:c r="D196" s="31" t="n">
        <x:v>20</x:v>
      </x:c>
      <x:c r="E196" s="31" t="str">
        <x:v>Bubblegum &amp; Pastel Coral</x:v>
      </x:c>
      <x:c r="F196" s="423" t="str">
        <x:v>#CC66CC</x:v>
      </x:c>
      <x:c r="G196" s="477" t="n">
        <x:f>'Seasons'!F25</x:f>
        <x:v>400</x:v>
      </x:c>
      <x:c r="H196" s="34" t="n">
        <x:f>'Seasons'!G25</x:f>
        <x:v>0.005</x:v>
      </x:c>
      <x:c r="I196" s="36" t="n">
        <x:f>G196*H196</x:f>
        <x:v>2</x:v>
      </x:c>
      <x:c r="J196" s="34" t="n">
        <x:f>I196*'Seasons'!H25</x:f>
        <x:v>1.4</x:v>
      </x:c>
      <x:c r="K196" s="34" t="n">
        <x:f>I196*'Seasons'!I25</x:f>
        <x:v>0.2</x:v>
      </x:c>
      <x:c r="L196" s="36" t="n">
        <x:f>I196-J196-K196</x:f>
        <x:v>0.4000000000000001</x:v>
      </x:c>
      <x:c r="M196" s="477" t="n">
        <x:f>'Seasons'!O25</x:f>
        <x:v>15</x:v>
      </x:c>
      <x:c r="N196" s="477" t="n">
        <x:f>'Seasons'!P25</x:f>
        <x:v>14</x:v>
      </x:c>
      <x:c r="O196" s="37" t="n">
        <x:f>1/G196</x:f>
        <x:v>0.0025</x:v>
      </x:c>
      <x:c r="P196" s="36" t="n">
        <x:f>J196/G196</x:f>
        <x:v>0.0034999999999999996</x:v>
      </x:c>
    </x:row>
    <x:row r="197" ht="25" customHeight="1">
      <x:c r="C197" s="2" t="n">
        <x:v>192</x:v>
      </x:c>
      <x:c r="D197" s="2" t="n">
        <x:v>20</x:v>
      </x:c>
      <x:c r="E197" s="2" t="str">
        <x:v>Bubblegum &amp; Pastel Coral</x:v>
      </x:c>
      <x:c r="F197" s="425" t="str">
        <x:v>#CC66FF</x:v>
      </x:c>
      <x:c r="G197" s="478" t="n">
        <x:f>'Seasons'!F25</x:f>
        <x:v>400</x:v>
      </x:c>
      <x:c r="H197" s="59" t="n">
        <x:f>'Seasons'!G25</x:f>
        <x:v>0.005</x:v>
      </x:c>
      <x:c r="I197" s="13" t="n">
        <x:f>G197*H197</x:f>
        <x:v>2</x:v>
      </x:c>
      <x:c r="J197" s="59" t="n">
        <x:f>I197*'Seasons'!H25</x:f>
        <x:v>1.4</x:v>
      </x:c>
      <x:c r="K197" s="59" t="n">
        <x:f>I197*'Seasons'!I25</x:f>
        <x:v>0.2</x:v>
      </x:c>
      <x:c r="L197" s="13" t="n">
        <x:f>I197-J197-K197</x:f>
        <x:v>0.4000000000000001</x:v>
      </x:c>
      <x:c r="M197" s="478" t="n">
        <x:f>'Seasons'!O25</x:f>
        <x:v>15</x:v>
      </x:c>
      <x:c r="N197" s="478" t="n">
        <x:f>'Seasons'!P25</x:f>
        <x:v>14</x:v>
      </x:c>
      <x:c r="O197" s="61" t="n">
        <x:f>1/G197</x:f>
        <x:v>0.0025</x:v>
      </x:c>
      <x:c r="P197" s="13" t="n">
        <x:f>J197/G197</x:f>
        <x:v>0.0034999999999999996</x:v>
      </x:c>
    </x:row>
    <x:row r="198" ht="25" customHeight="1">
      <x:c r="C198" s="31" t="n">
        <x:v>193</x:v>
      </x:c>
      <x:c r="D198" s="31" t="n">
        <x:v>20</x:v>
      </x:c>
      <x:c r="E198" s="31" t="str">
        <x:v>Bubblegum &amp; Pastel Coral</x:v>
      </x:c>
      <x:c r="F198" s="427" t="str">
        <x:v>#FF6699</x:v>
      </x:c>
      <x:c r="G198" s="477" t="n">
        <x:f>'Seasons'!F25</x:f>
        <x:v>400</x:v>
      </x:c>
      <x:c r="H198" s="34" t="n">
        <x:f>'Seasons'!G25</x:f>
        <x:v>0.005</x:v>
      </x:c>
      <x:c r="I198" s="36" t="n">
        <x:f>G198*H198</x:f>
        <x:v>2</x:v>
      </x:c>
      <x:c r="J198" s="34" t="n">
        <x:f>I198*'Seasons'!H25</x:f>
        <x:v>1.4</x:v>
      </x:c>
      <x:c r="K198" s="34" t="n">
        <x:f>I198*'Seasons'!I25</x:f>
        <x:v>0.2</x:v>
      </x:c>
      <x:c r="L198" s="36" t="n">
        <x:f>I198-J198-K198</x:f>
        <x:v>0.4000000000000001</x:v>
      </x:c>
      <x:c r="M198" s="477" t="n">
        <x:f>'Seasons'!O25</x:f>
        <x:v>15</x:v>
      </x:c>
      <x:c r="N198" s="477" t="n">
        <x:f>'Seasons'!P25</x:f>
        <x:v>14</x:v>
      </x:c>
      <x:c r="O198" s="37" t="n">
        <x:f>1/G198</x:f>
        <x:v>0.0025</x:v>
      </x:c>
      <x:c r="P198" s="36" t="n">
        <x:f>J198/G198</x:f>
        <x:v>0.0034999999999999996</x:v>
      </x:c>
    </x:row>
    <x:row r="199" ht="25" customHeight="1">
      <x:c r="C199" s="2" t="n">
        <x:v>194</x:v>
      </x:c>
      <x:c r="D199" s="2" t="n">
        <x:v>20</x:v>
      </x:c>
      <x:c r="E199" s="2" t="str">
        <x:v>Bubblegum &amp; Pastel Coral</x:v>
      </x:c>
      <x:c r="F199" s="429" t="str">
        <x:v>#FF66CC</x:v>
      </x:c>
      <x:c r="G199" s="478" t="n">
        <x:f>'Seasons'!F25</x:f>
        <x:v>400</x:v>
      </x:c>
      <x:c r="H199" s="59" t="n">
        <x:f>'Seasons'!G25</x:f>
        <x:v>0.005</x:v>
      </x:c>
      <x:c r="I199" s="13" t="n">
        <x:f>G199*H199</x:f>
        <x:v>2</x:v>
      </x:c>
      <x:c r="J199" s="59" t="n">
        <x:f>I199*'Seasons'!H25</x:f>
        <x:v>1.4</x:v>
      </x:c>
      <x:c r="K199" s="59" t="n">
        <x:f>I199*'Seasons'!I25</x:f>
        <x:v>0.2</x:v>
      </x:c>
      <x:c r="L199" s="13" t="n">
        <x:f>I199-J199-K199</x:f>
        <x:v>0.4000000000000001</x:v>
      </x:c>
      <x:c r="M199" s="478" t="n">
        <x:f>'Seasons'!O25</x:f>
        <x:v>15</x:v>
      </x:c>
      <x:c r="N199" s="478" t="n">
        <x:f>'Seasons'!P25</x:f>
        <x:v>14</x:v>
      </x:c>
      <x:c r="O199" s="61" t="n">
        <x:f>1/G199</x:f>
        <x:v>0.0025</x:v>
      </x:c>
      <x:c r="P199" s="13" t="n">
        <x:f>J199/G199</x:f>
        <x:v>0.0034999999999999996</x:v>
      </x:c>
    </x:row>
    <x:row r="200" ht="25" customHeight="1">
      <x:c r="C200" s="31" t="n">
        <x:v>195</x:v>
      </x:c>
      <x:c r="D200" s="31" t="n">
        <x:v>20</x:v>
      </x:c>
      <x:c r="E200" s="31" t="str">
        <x:v>Bubblegum &amp; Pastel Coral</x:v>
      </x:c>
      <x:c r="F200" s="431" t="str">
        <x:v>#FF66FF</x:v>
      </x:c>
      <x:c r="G200" s="477" t="n">
        <x:f>'Seasons'!F25</x:f>
        <x:v>400</x:v>
      </x:c>
      <x:c r="H200" s="34" t="n">
        <x:f>'Seasons'!G25</x:f>
        <x:v>0.005</x:v>
      </x:c>
      <x:c r="I200" s="36" t="n">
        <x:f>G200*H200</x:f>
        <x:v>2</x:v>
      </x:c>
      <x:c r="J200" s="34" t="n">
        <x:f>I200*'Seasons'!H25</x:f>
        <x:v>1.4</x:v>
      </x:c>
      <x:c r="K200" s="34" t="n">
        <x:f>I200*'Seasons'!I25</x:f>
        <x:v>0.2</x:v>
      </x:c>
      <x:c r="L200" s="36" t="n">
        <x:f>I200-J200-K200</x:f>
        <x:v>0.4000000000000001</x:v>
      </x:c>
      <x:c r="M200" s="477" t="n">
        <x:f>'Seasons'!O25</x:f>
        <x:v>15</x:v>
      </x:c>
      <x:c r="N200" s="477" t="n">
        <x:f>'Seasons'!P25</x:f>
        <x:v>14</x:v>
      </x:c>
      <x:c r="O200" s="37" t="n">
        <x:f>1/G200</x:f>
        <x:v>0.0025</x:v>
      </x:c>
      <x:c r="P200" s="36" t="n">
        <x:f>J200/G200</x:f>
        <x:v>0.0034999999999999996</x:v>
      </x:c>
    </x:row>
    <x:row r="201" ht="25" customHeight="1">
      <x:c r="C201" s="2" t="n">
        <x:v>196</x:v>
      </x:c>
      <x:c r="D201" s="2" t="n">
        <x:v>20</x:v>
      </x:c>
      <x:c r="E201" s="2" t="str">
        <x:v>Bubblegum &amp; Pastel Coral</x:v>
      </x:c>
      <x:c r="F201" s="433" t="str">
        <x:v>#CC99CC</x:v>
      </x:c>
      <x:c r="G201" s="478" t="n">
        <x:f>'Seasons'!F25</x:f>
        <x:v>400</x:v>
      </x:c>
      <x:c r="H201" s="59" t="n">
        <x:f>'Seasons'!G25</x:f>
        <x:v>0.005</x:v>
      </x:c>
      <x:c r="I201" s="13" t="n">
        <x:f>G201*H201</x:f>
        <x:v>2</x:v>
      </x:c>
      <x:c r="J201" s="59" t="n">
        <x:f>I201*'Seasons'!H25</x:f>
        <x:v>1.4</x:v>
      </x:c>
      <x:c r="K201" s="59" t="n">
        <x:f>I201*'Seasons'!I25</x:f>
        <x:v>0.2</x:v>
      </x:c>
      <x:c r="L201" s="13" t="n">
        <x:f>I201-J201-K201</x:f>
        <x:v>0.4000000000000001</x:v>
      </x:c>
      <x:c r="M201" s="478" t="n">
        <x:f>'Seasons'!O25</x:f>
        <x:v>15</x:v>
      </x:c>
      <x:c r="N201" s="478" t="n">
        <x:f>'Seasons'!P25</x:f>
        <x:v>14</x:v>
      </x:c>
      <x:c r="O201" s="61" t="n">
        <x:f>1/G201</x:f>
        <x:v>0.0025</x:v>
      </x:c>
      <x:c r="P201" s="13" t="n">
        <x:f>J201/G201</x:f>
        <x:v>0.0034999999999999996</x:v>
      </x:c>
    </x:row>
    <x:row r="202" ht="25" customHeight="1">
      <x:c r="C202" s="31" t="n">
        <x:v>197</x:v>
      </x:c>
      <x:c r="D202" s="31" t="n">
        <x:v>20</x:v>
      </x:c>
      <x:c r="E202" s="31" t="str">
        <x:v>Bubblegum &amp; Pastel Coral</x:v>
      </x:c>
      <x:c r="F202" s="435" t="str">
        <x:v>#CC99FF</x:v>
      </x:c>
      <x:c r="G202" s="477" t="n">
        <x:f>'Seasons'!F25</x:f>
        <x:v>400</x:v>
      </x:c>
      <x:c r="H202" s="34" t="n">
        <x:f>'Seasons'!G25</x:f>
        <x:v>0.005</x:v>
      </x:c>
      <x:c r="I202" s="36" t="n">
        <x:f>G202*H202</x:f>
        <x:v>2</x:v>
      </x:c>
      <x:c r="J202" s="34" t="n">
        <x:f>I202*'Seasons'!H25</x:f>
        <x:v>1.4</x:v>
      </x:c>
      <x:c r="K202" s="34" t="n">
        <x:f>I202*'Seasons'!I25</x:f>
        <x:v>0.2</x:v>
      </x:c>
      <x:c r="L202" s="36" t="n">
        <x:f>I202-J202-K202</x:f>
        <x:v>0.4000000000000001</x:v>
      </x:c>
      <x:c r="M202" s="477" t="n">
        <x:f>'Seasons'!O25</x:f>
        <x:v>15</x:v>
      </x:c>
      <x:c r="N202" s="477" t="n">
        <x:f>'Seasons'!P25</x:f>
        <x:v>14</x:v>
      </x:c>
      <x:c r="O202" s="37" t="n">
        <x:f>1/G202</x:f>
        <x:v>0.0025</x:v>
      </x:c>
      <x:c r="P202" s="36" t="n">
        <x:f>J202/G202</x:f>
        <x:v>0.0034999999999999996</x:v>
      </x:c>
    </x:row>
    <x:row r="203" ht="25" customHeight="1">
      <x:c r="C203" s="2" t="n">
        <x:v>198</x:v>
      </x:c>
      <x:c r="D203" s="2" t="n">
        <x:v>20</x:v>
      </x:c>
      <x:c r="E203" s="2" t="str">
        <x:v>Bubblegum &amp; Pastel Coral</x:v>
      </x:c>
      <x:c r="F203" s="437" t="str">
        <x:v>#FF99CC</x:v>
      </x:c>
      <x:c r="G203" s="478" t="n">
        <x:f>'Seasons'!F25</x:f>
        <x:v>400</x:v>
      </x:c>
      <x:c r="H203" s="59" t="n">
        <x:f>'Seasons'!G25</x:f>
        <x:v>0.005</x:v>
      </x:c>
      <x:c r="I203" s="13" t="n">
        <x:f>G203*H203</x:f>
        <x:v>2</x:v>
      </x:c>
      <x:c r="J203" s="59" t="n">
        <x:f>I203*'Seasons'!H25</x:f>
        <x:v>1.4</x:v>
      </x:c>
      <x:c r="K203" s="59" t="n">
        <x:f>I203*'Seasons'!I25</x:f>
        <x:v>0.2</x:v>
      </x:c>
      <x:c r="L203" s="13" t="n">
        <x:f>I203-J203-K203</x:f>
        <x:v>0.4000000000000001</x:v>
      </x:c>
      <x:c r="M203" s="478" t="n">
        <x:f>'Seasons'!O25</x:f>
        <x:v>15</x:v>
      </x:c>
      <x:c r="N203" s="478" t="n">
        <x:f>'Seasons'!P25</x:f>
        <x:v>14</x:v>
      </x:c>
      <x:c r="O203" s="61" t="n">
        <x:f>1/G203</x:f>
        <x:v>0.0025</x:v>
      </x:c>
      <x:c r="P203" s="13" t="n">
        <x:f>J203/G203</x:f>
        <x:v>0.0034999999999999996</x:v>
      </x:c>
    </x:row>
    <x:row r="204" ht="25" customHeight="1">
      <x:c r="C204" s="31" t="n">
        <x:v>199</x:v>
      </x:c>
      <x:c r="D204" s="31" t="n">
        <x:v>20</x:v>
      </x:c>
      <x:c r="E204" s="31" t="str">
        <x:v>Bubblegum &amp; Pastel Coral</x:v>
      </x:c>
      <x:c r="F204" s="439" t="str">
        <x:v>#FF99FF</x:v>
      </x:c>
      <x:c r="G204" s="477" t="n">
        <x:f>'Seasons'!F25</x:f>
        <x:v>400</x:v>
      </x:c>
      <x:c r="H204" s="34" t="n">
        <x:f>'Seasons'!G25</x:f>
        <x:v>0.005</x:v>
      </x:c>
      <x:c r="I204" s="36" t="n">
        <x:f>G204*H204</x:f>
        <x:v>2</x:v>
      </x:c>
      <x:c r="J204" s="34" t="n">
        <x:f>I204*'Seasons'!H25</x:f>
        <x:v>1.4</x:v>
      </x:c>
      <x:c r="K204" s="34" t="n">
        <x:f>I204*'Seasons'!I25</x:f>
        <x:v>0.2</x:v>
      </x:c>
      <x:c r="L204" s="36" t="n">
        <x:f>I204-J204-K204</x:f>
        <x:v>0.4000000000000001</x:v>
      </x:c>
      <x:c r="M204" s="477" t="n">
        <x:f>'Seasons'!O25</x:f>
        <x:v>15</x:v>
      </x:c>
      <x:c r="N204" s="477" t="n">
        <x:f>'Seasons'!P25</x:f>
        <x:v>14</x:v>
      </x:c>
      <x:c r="O204" s="37" t="n">
        <x:f>1/G204</x:f>
        <x:v>0.0025</x:v>
      </x:c>
      <x:c r="P204" s="36" t="n">
        <x:f>J204/G204</x:f>
        <x:v>0.0034999999999999996</x:v>
      </x:c>
    </x:row>
    <x:row r="205" ht="25" customHeight="1">
      <x:c r="C205" s="2" t="n">
        <x:v>200</x:v>
      </x:c>
      <x:c r="D205" s="2" t="n">
        <x:v>20</x:v>
      </x:c>
      <x:c r="E205" s="2" t="str">
        <x:v>Bubblegum &amp; Pastel Coral</x:v>
      </x:c>
      <x:c r="F205" s="441" t="str">
        <x:v>#FFCCFF</x:v>
      </x:c>
      <x:c r="G205" s="478" t="n">
        <x:f>'Seasons'!F25</x:f>
        <x:v>400</x:v>
      </x:c>
      <x:c r="H205" s="59" t="n">
        <x:f>'Seasons'!G25</x:f>
        <x:v>0.005</x:v>
      </x:c>
      <x:c r="I205" s="13" t="n">
        <x:f>G205*H205</x:f>
        <x:v>2</x:v>
      </x:c>
      <x:c r="J205" s="59" t="n">
        <x:f>I205*'Seasons'!H25</x:f>
        <x:v>1.4</x:v>
      </x:c>
      <x:c r="K205" s="59" t="n">
        <x:f>I205*'Seasons'!I25</x:f>
        <x:v>0.2</x:v>
      </x:c>
      <x:c r="L205" s="13" t="n">
        <x:f>I205-J205-K205</x:f>
        <x:v>0.4000000000000001</x:v>
      </x:c>
      <x:c r="M205" s="478" t="n">
        <x:f>'Seasons'!O25</x:f>
        <x:v>15</x:v>
      </x:c>
      <x:c r="N205" s="478" t="n">
        <x:f>'Seasons'!P25</x:f>
        <x:v>14</x:v>
      </x:c>
      <x:c r="O205" s="61" t="n">
        <x:f>1/G205</x:f>
        <x:v>0.0025</x:v>
      </x:c>
      <x:c r="P205" s="13" t="n">
        <x:f>J205/G205</x:f>
        <x:v>0.0034999999999999996</x:v>
      </x:c>
    </x:row>
    <x:row r="206" ht="25" customHeight="1">
      <x:c r="C206" s="31" t="n">
        <x:v>201</x:v>
      </x:c>
      <x:c r="D206" s="31" t="n">
        <x:v>21</x:v>
      </x:c>
      <x:c r="E206" s="31" t="str">
        <x:v>Warm Neutral &amp; Blush Tints</x:v>
      </x:c>
      <x:c r="F206" s="443" t="str">
        <x:v>#669966</x:v>
      </x:c>
      <x:c r="G206" s="477" t="n">
        <x:f>'Seasons'!F26</x:f>
        <x:v>400</x:v>
      </x:c>
      <x:c r="H206" s="34" t="n">
        <x:f>'Seasons'!G26</x:f>
        <x:v>0.005</x:v>
      </x:c>
      <x:c r="I206" s="36" t="n">
        <x:f>G206*H206</x:f>
        <x:v>2</x:v>
      </x:c>
      <x:c r="J206" s="34" t="n">
        <x:f>I206*'Seasons'!H26</x:f>
        <x:v>1.4</x:v>
      </x:c>
      <x:c r="K206" s="34" t="n">
        <x:f>I206*'Seasons'!I26</x:f>
        <x:v>0.2</x:v>
      </x:c>
      <x:c r="L206" s="36" t="n">
        <x:f>I206-J206-K206</x:f>
        <x:v>0.4000000000000001</x:v>
      </x:c>
      <x:c r="M206" s="477" t="n">
        <x:f>'Seasons'!O26</x:f>
        <x:v>15</x:v>
      </x:c>
      <x:c r="N206" s="477" t="n">
        <x:f>'Seasons'!P26</x:f>
        <x:v>14</x:v>
      </x:c>
      <x:c r="O206" s="37" t="n">
        <x:f>1/G206</x:f>
        <x:v>0.0025</x:v>
      </x:c>
      <x:c r="P206" s="36" t="n">
        <x:f>J206/G206</x:f>
        <x:v>0.0034999999999999996</x:v>
      </x:c>
    </x:row>
    <x:row r="207" ht="25" customHeight="1">
      <x:c r="C207" s="2" t="n">
        <x:v>202</x:v>
      </x:c>
      <x:c r="D207" s="2" t="n">
        <x:v>21</x:v>
      </x:c>
      <x:c r="E207" s="2" t="str">
        <x:v>Warm Neutral &amp; Blush Tints</x:v>
      </x:c>
      <x:c r="F207" s="445" t="str">
        <x:v>#669999</x:v>
      </x:c>
      <x:c r="G207" s="478" t="n">
        <x:f>'Seasons'!F26</x:f>
        <x:v>400</x:v>
      </x:c>
      <x:c r="H207" s="59" t="n">
        <x:f>'Seasons'!G26</x:f>
        <x:v>0.005</x:v>
      </x:c>
      <x:c r="I207" s="13" t="n">
        <x:f>G207*H207</x:f>
        <x:v>2</x:v>
      </x:c>
      <x:c r="J207" s="59" t="n">
        <x:f>I207*'Seasons'!H26</x:f>
        <x:v>1.4</x:v>
      </x:c>
      <x:c r="K207" s="59" t="n">
        <x:f>I207*'Seasons'!I26</x:f>
        <x:v>0.2</x:v>
      </x:c>
      <x:c r="L207" s="13" t="n">
        <x:f>I207-J207-K207</x:f>
        <x:v>0.4000000000000001</x:v>
      </x:c>
      <x:c r="M207" s="478" t="n">
        <x:f>'Seasons'!O26</x:f>
        <x:v>15</x:v>
      </x:c>
      <x:c r="N207" s="478" t="n">
        <x:f>'Seasons'!P26</x:f>
        <x:v>14</x:v>
      </x:c>
      <x:c r="O207" s="61" t="n">
        <x:f>1/G207</x:f>
        <x:v>0.0025</x:v>
      </x:c>
      <x:c r="P207" s="13" t="n">
        <x:f>J207/G207</x:f>
        <x:v>0.0034999999999999996</x:v>
      </x:c>
    </x:row>
    <x:row r="208" ht="25" customHeight="1">
      <x:c r="C208" s="31" t="n">
        <x:v>203</x:v>
      </x:c>
      <x:c r="D208" s="31" t="n">
        <x:v>21</x:v>
      </x:c>
      <x:c r="E208" s="31" t="str">
        <x:v>Warm Neutral &amp; Blush Tints</x:v>
      </x:c>
      <x:c r="F208" s="447" t="str">
        <x:v>#CC9999</x:v>
      </x:c>
      <x:c r="G208" s="477" t="n">
        <x:f>'Seasons'!F26</x:f>
        <x:v>400</x:v>
      </x:c>
      <x:c r="H208" s="34" t="n">
        <x:f>'Seasons'!G26</x:f>
        <x:v>0.005</x:v>
      </x:c>
      <x:c r="I208" s="36" t="n">
        <x:f>G208*H208</x:f>
        <x:v>2</x:v>
      </x:c>
      <x:c r="J208" s="34" t="n">
        <x:f>I208*'Seasons'!H26</x:f>
        <x:v>1.4</x:v>
      </x:c>
      <x:c r="K208" s="34" t="n">
        <x:f>I208*'Seasons'!I26</x:f>
        <x:v>0.2</x:v>
      </x:c>
      <x:c r="L208" s="36" t="n">
        <x:f>I208-J208-K208</x:f>
        <x:v>0.4000000000000001</x:v>
      </x:c>
      <x:c r="M208" s="477" t="n">
        <x:f>'Seasons'!O26</x:f>
        <x:v>15</x:v>
      </x:c>
      <x:c r="N208" s="477" t="n">
        <x:f>'Seasons'!P26</x:f>
        <x:v>14</x:v>
      </x:c>
      <x:c r="O208" s="37" t="n">
        <x:f>1/G208</x:f>
        <x:v>0.0025</x:v>
      </x:c>
      <x:c r="P208" s="36" t="n">
        <x:f>J208/G208</x:f>
        <x:v>0.0034999999999999996</x:v>
      </x:c>
    </x:row>
    <x:row r="209" ht="25" customHeight="1">
      <x:c r="C209" s="2" t="n">
        <x:v>204</x:v>
      </x:c>
      <x:c r="D209" s="2" t="n">
        <x:v>21</x:v>
      </x:c>
      <x:c r="E209" s="2" t="str">
        <x:v>Warm Neutral &amp; Blush Tints</x:v>
      </x:c>
      <x:c r="F209" s="449" t="str">
        <x:v>#FFCC99</x:v>
      </x:c>
      <x:c r="G209" s="478" t="n">
        <x:f>'Seasons'!F26</x:f>
        <x:v>400</x:v>
      </x:c>
      <x:c r="H209" s="59" t="n">
        <x:f>'Seasons'!G26</x:f>
        <x:v>0.005</x:v>
      </x:c>
      <x:c r="I209" s="13" t="n">
        <x:f>G209*H209</x:f>
        <x:v>2</x:v>
      </x:c>
      <x:c r="J209" s="59" t="n">
        <x:f>I209*'Seasons'!H26</x:f>
        <x:v>1.4</x:v>
      </x:c>
      <x:c r="K209" s="59" t="n">
        <x:f>I209*'Seasons'!I26</x:f>
        <x:v>0.2</x:v>
      </x:c>
      <x:c r="L209" s="13" t="n">
        <x:f>I209-J209-K209</x:f>
        <x:v>0.4000000000000001</x:v>
      </x:c>
      <x:c r="M209" s="478" t="n">
        <x:f>'Seasons'!O26</x:f>
        <x:v>15</x:v>
      </x:c>
      <x:c r="N209" s="478" t="n">
        <x:f>'Seasons'!P26</x:f>
        <x:v>14</x:v>
      </x:c>
      <x:c r="O209" s="61" t="n">
        <x:f>1/G209</x:f>
        <x:v>0.0025</x:v>
      </x:c>
      <x:c r="P209" s="13" t="n">
        <x:f>J209/G209</x:f>
        <x:v>0.0034999999999999996</x:v>
      </x:c>
    </x:row>
    <x:row r="210" ht="25" customHeight="1">
      <x:c r="C210" s="31" t="n">
        <x:v>205</x:v>
      </x:c>
      <x:c r="D210" s="31" t="n">
        <x:v>21</x:v>
      </x:c>
      <x:c r="E210" s="31" t="str">
        <x:v>Warm Neutral &amp; Blush Tints</x:v>
      </x:c>
      <x:c r="F210" s="451" t="str">
        <x:v>#FFCCCC</x:v>
      </x:c>
      <x:c r="G210" s="477" t="n">
        <x:f>'Seasons'!F26</x:f>
        <x:v>400</x:v>
      </x:c>
      <x:c r="H210" s="34" t="n">
        <x:f>'Seasons'!G26</x:f>
        <x:v>0.005</x:v>
      </x:c>
      <x:c r="I210" s="36" t="n">
        <x:f>G210*H210</x:f>
        <x:v>2</x:v>
      </x:c>
      <x:c r="J210" s="34" t="n">
        <x:f>I210*'Seasons'!H26</x:f>
        <x:v>1.4</x:v>
      </x:c>
      <x:c r="K210" s="34" t="n">
        <x:f>I210*'Seasons'!I26</x:f>
        <x:v>0.2</x:v>
      </x:c>
      <x:c r="L210" s="36" t="n">
        <x:f>I210-J210-K210</x:f>
        <x:v>0.4000000000000001</x:v>
      </x:c>
      <x:c r="M210" s="477" t="n">
        <x:f>'Seasons'!O26</x:f>
        <x:v>15</x:v>
      </x:c>
      <x:c r="N210" s="477" t="n">
        <x:f>'Seasons'!P26</x:f>
        <x:v>14</x:v>
      </x:c>
      <x:c r="O210" s="37" t="n">
        <x:f>1/G210</x:f>
        <x:v>0.0025</x:v>
      </x:c>
      <x:c r="P210" s="36" t="n">
        <x:f>J210/G210</x:f>
        <x:v>0.0034999999999999996</x:v>
      </x:c>
    </x:row>
    <x:row r="211" ht="25" customHeight="1">
      <x:c r="C211" s="2" t="n">
        <x:v>206</x:v>
      </x:c>
      <x:c r="D211" s="2" t="n">
        <x:v>21</x:v>
      </x:c>
      <x:c r="E211" s="2" t="str">
        <x:v>Warm Neutral &amp; Blush Tints</x:v>
      </x:c>
      <x:c r="F211" s="453" t="str">
        <x:v>#330011</x:v>
      </x:c>
      <x:c r="G211" s="478" t="n">
        <x:f>'Seasons'!F26</x:f>
        <x:v>400</x:v>
      </x:c>
      <x:c r="H211" s="59" t="n">
        <x:f>'Seasons'!G26</x:f>
        <x:v>0.005</x:v>
      </x:c>
      <x:c r="I211" s="13" t="n">
        <x:f>G211*H211</x:f>
        <x:v>2</x:v>
      </x:c>
      <x:c r="J211" s="59" t="n">
        <x:f>I211*'Seasons'!H26</x:f>
        <x:v>1.4</x:v>
      </x:c>
      <x:c r="K211" s="59" t="n">
        <x:f>I211*'Seasons'!I26</x:f>
        <x:v>0.2</x:v>
      </x:c>
      <x:c r="L211" s="13" t="n">
        <x:f>I211-J211-K211</x:f>
        <x:v>0.4000000000000001</x:v>
      </x:c>
      <x:c r="M211" s="478" t="n">
        <x:f>'Seasons'!O26</x:f>
        <x:v>15</x:v>
      </x:c>
      <x:c r="N211" s="478" t="n">
        <x:f>'Seasons'!P26</x:f>
        <x:v>14</x:v>
      </x:c>
      <x:c r="O211" s="61" t="n">
        <x:f>1/G211</x:f>
        <x:v>0.0025</x:v>
      </x:c>
      <x:c r="P211" s="13" t="n">
        <x:f>J211/G211</x:f>
        <x:v>0.0034999999999999996</x:v>
      </x:c>
    </x:row>
    <x:row r="212" ht="25" customHeight="1">
      <x:c r="C212" s="31" t="n">
        <x:v>207</x:v>
      </x:c>
      <x:c r="D212" s="31" t="n">
        <x:v>21</x:v>
      </x:c>
      <x:c r="E212" s="31" t="str">
        <x:v>Warm Neutral &amp; Blush Tints</x:v>
      </x:c>
      <x:c r="F212" s="455" t="str">
        <x:v>#331100</x:v>
      </x:c>
      <x:c r="G212" s="477" t="n">
        <x:f>'Seasons'!F26</x:f>
        <x:v>400</x:v>
      </x:c>
      <x:c r="H212" s="34" t="n">
        <x:f>'Seasons'!G26</x:f>
        <x:v>0.005</x:v>
      </x:c>
      <x:c r="I212" s="36" t="n">
        <x:f>G212*H212</x:f>
        <x:v>2</x:v>
      </x:c>
      <x:c r="J212" s="34" t="n">
        <x:f>I212*'Seasons'!H26</x:f>
        <x:v>1.4</x:v>
      </x:c>
      <x:c r="K212" s="34" t="n">
        <x:f>I212*'Seasons'!I26</x:f>
        <x:v>0.2</x:v>
      </x:c>
      <x:c r="L212" s="36" t="n">
        <x:f>I212-J212-K212</x:f>
        <x:v>0.4000000000000001</x:v>
      </x:c>
      <x:c r="M212" s="477" t="n">
        <x:f>'Seasons'!O26</x:f>
        <x:v>15</x:v>
      </x:c>
      <x:c r="N212" s="477" t="n">
        <x:f>'Seasons'!P26</x:f>
        <x:v>14</x:v>
      </x:c>
      <x:c r="O212" s="37" t="n">
        <x:f>1/G212</x:f>
        <x:v>0.0025</x:v>
      </x:c>
      <x:c r="P212" s="36" t="n">
        <x:f>J212/G212</x:f>
        <x:v>0.0034999999999999996</x:v>
      </x:c>
    </x:row>
    <x:row r="213" ht="25" customHeight="1">
      <x:c r="C213" s="2" t="n">
        <x:v>208</x:v>
      </x:c>
      <x:c r="D213" s="2" t="n">
        <x:v>21</x:v>
      </x:c>
      <x:c r="E213" s="2" t="str">
        <x:v>Warm Neutral &amp; Blush Tints</x:v>
      </x:c>
      <x:c r="F213" s="457" t="str">
        <x:v>#110033</x:v>
      </x:c>
      <x:c r="G213" s="478" t="n">
        <x:f>'Seasons'!F26</x:f>
        <x:v>400</x:v>
      </x:c>
      <x:c r="H213" s="59" t="n">
        <x:f>'Seasons'!G26</x:f>
        <x:v>0.005</x:v>
      </x:c>
      <x:c r="I213" s="13" t="n">
        <x:f>G213*H213</x:f>
        <x:v>2</x:v>
      </x:c>
      <x:c r="J213" s="59" t="n">
        <x:f>I213*'Seasons'!H26</x:f>
        <x:v>1.4</x:v>
      </x:c>
      <x:c r="K213" s="59" t="n">
        <x:f>I213*'Seasons'!I26</x:f>
        <x:v>0.2</x:v>
      </x:c>
      <x:c r="L213" s="13" t="n">
        <x:f>I213-J213-K213</x:f>
        <x:v>0.4000000000000001</x:v>
      </x:c>
      <x:c r="M213" s="478" t="n">
        <x:f>'Seasons'!O26</x:f>
        <x:v>15</x:v>
      </x:c>
      <x:c r="N213" s="478" t="n">
        <x:f>'Seasons'!P26</x:f>
        <x:v>14</x:v>
      </x:c>
      <x:c r="O213" s="61" t="n">
        <x:f>1/G213</x:f>
        <x:v>0.0025</x:v>
      </x:c>
      <x:c r="P213" s="13" t="n">
        <x:f>J213/G213</x:f>
        <x:v>0.0034999999999999996</x:v>
      </x:c>
    </x:row>
    <x:row r="214" ht="25" customHeight="1">
      <x:c r="C214" s="31" t="n">
        <x:v>209</x:v>
      </x:c>
      <x:c r="D214" s="31" t="n">
        <x:v>21</x:v>
      </x:c>
      <x:c r="E214" s="31" t="str">
        <x:v>Warm Neutral &amp; Blush Tints</x:v>
      </x:c>
      <x:c r="F214" s="459" t="str">
        <x:v>#001133</x:v>
      </x:c>
      <x:c r="G214" s="477" t="n">
        <x:f>'Seasons'!F26</x:f>
        <x:v>400</x:v>
      </x:c>
      <x:c r="H214" s="34" t="n">
        <x:f>'Seasons'!G26</x:f>
        <x:v>0.005</x:v>
      </x:c>
      <x:c r="I214" s="36" t="n">
        <x:f>G214*H214</x:f>
        <x:v>2</x:v>
      </x:c>
      <x:c r="J214" s="34" t="n">
        <x:f>I214*'Seasons'!H26</x:f>
        <x:v>1.4</x:v>
      </x:c>
      <x:c r="K214" s="34" t="n">
        <x:f>I214*'Seasons'!I26</x:f>
        <x:v>0.2</x:v>
      </x:c>
      <x:c r="L214" s="36" t="n">
        <x:f>I214-J214-K214</x:f>
        <x:v>0.4000000000000001</x:v>
      </x:c>
      <x:c r="M214" s="477" t="n">
        <x:f>'Seasons'!O26</x:f>
        <x:v>15</x:v>
      </x:c>
      <x:c r="N214" s="477" t="n">
        <x:f>'Seasons'!P26</x:f>
        <x:v>14</x:v>
      </x:c>
      <x:c r="O214" s="37" t="n">
        <x:f>1/G214</x:f>
        <x:v>0.0025</x:v>
      </x:c>
      <x:c r="P214" s="36" t="n">
        <x:f>J214/G214</x:f>
        <x:v>0.0034999999999999996</x:v>
      </x:c>
    </x:row>
    <x:row r="215" ht="25" customHeight="1">
      <x:c r="C215" s="2" t="n">
        <x:v>210</x:v>
      </x:c>
      <x:c r="D215" s="2" t="n">
        <x:v>21</x:v>
      </x:c>
      <x:c r="E215" s="2" t="str">
        <x:v>Warm Neutral &amp; Blush Tints</x:v>
      </x:c>
      <x:c r="F215" s="461" t="str">
        <x:v>#003311</x:v>
      </x:c>
      <x:c r="G215" s="478" t="n">
        <x:f>'Seasons'!F26</x:f>
        <x:v>400</x:v>
      </x:c>
      <x:c r="H215" s="59" t="n">
        <x:f>'Seasons'!G26</x:f>
        <x:v>0.005</x:v>
      </x:c>
      <x:c r="I215" s="13" t="n">
        <x:f>G215*H215</x:f>
        <x:v>2</x:v>
      </x:c>
      <x:c r="J215" s="59" t="n">
        <x:f>I215*'Seasons'!H26</x:f>
        <x:v>1.4</x:v>
      </x:c>
      <x:c r="K215" s="59" t="n">
        <x:f>I215*'Seasons'!I26</x:f>
        <x:v>0.2</x:v>
      </x:c>
      <x:c r="L215" s="13" t="n">
        <x:f>I215-J215-K215</x:f>
        <x:v>0.4000000000000001</x:v>
      </x:c>
      <x:c r="M215" s="478" t="n">
        <x:f>'Seasons'!O26</x:f>
        <x:v>15</x:v>
      </x:c>
      <x:c r="N215" s="478" t="n">
        <x:f>'Seasons'!P26</x:f>
        <x:v>14</x:v>
      </x:c>
      <x:c r="O215" s="61" t="n">
        <x:f>1/G215</x:f>
        <x:v>0.0025</x:v>
      </x:c>
      <x:c r="P215" s="13" t="n">
        <x:f>J215/G215</x:f>
        <x:v>0.0034999999999999996</x:v>
      </x:c>
    </x:row>
    <x:row r="216" ht="25" customHeight="1">
      <x:c r="C216" s="31" t="n">
        <x:v>211</x:v>
      </x:c>
      <x:c r="D216" s="31" t="n">
        <x:v>22</x:v>
      </x:c>
      <x:c r="E216" s="31" t="str">
        <x:v>The Monochromatic Zenith</x:v>
      </x:c>
      <x:c r="F216" s="463" t="str">
        <x:v>#000000</x:v>
      </x:c>
      <x:c r="G216" s="477" t="n">
        <x:f>'Seasons'!F27</x:f>
        <x:v>500</x:v>
      </x:c>
      <x:c r="H216" s="34" t="n">
        <x:f>'Seasons'!G27</x:f>
        <x:v>0.005</x:v>
      </x:c>
      <x:c r="I216" s="36" t="n">
        <x:f>G216*H216</x:f>
        <x:v>2.5</x:v>
      </x:c>
      <x:c r="J216" s="34" t="n">
        <x:f>I216*'Seasons'!H27</x:f>
        <x:v>1.75</x:v>
      </x:c>
      <x:c r="K216" s="34" t="n">
        <x:f>I216*'Seasons'!I27</x:f>
        <x:v>0.25</x:v>
      </x:c>
      <x:c r="L216" s="36" t="n">
        <x:f>I216-J216-K216</x:f>
        <x:v>0.5</x:v>
      </x:c>
      <x:c r="M216" s="477" t="n">
        <x:f>'Seasons'!O27</x:f>
        <x:v>15</x:v>
      </x:c>
      <x:c r="N216" s="477" t="n">
        <x:f>'Seasons'!P27</x:f>
        <x:v>14</x:v>
      </x:c>
      <x:c r="O216" s="37" t="n">
        <x:f>1/G216</x:f>
        <x:v>0.002</x:v>
      </x:c>
      <x:c r="P216" s="36" t="n">
        <x:f>J216/G216</x:f>
        <x:v>0.0035</x:v>
      </x:c>
    </x:row>
    <x:row r="217" ht="25" customHeight="1">
      <x:c r="C217" s="2" t="n">
        <x:v>212</x:v>
      </x:c>
      <x:c r="D217" s="2" t="n">
        <x:v>22</x:v>
      </x:c>
      <x:c r="E217" s="2" t="str">
        <x:v>The Monochromatic Zenith</x:v>
      </x:c>
      <x:c r="F217" s="465" t="str">
        <x:v>#333333</x:v>
      </x:c>
      <x:c r="G217" s="478" t="n">
        <x:f>'Seasons'!F27</x:f>
        <x:v>500</x:v>
      </x:c>
      <x:c r="H217" s="59" t="n">
        <x:f>'Seasons'!G27</x:f>
        <x:v>0.005</x:v>
      </x:c>
      <x:c r="I217" s="13" t="n">
        <x:f>G217*H217</x:f>
        <x:v>2.5</x:v>
      </x:c>
      <x:c r="J217" s="59" t="n">
        <x:f>I217*'Seasons'!H27</x:f>
        <x:v>1.75</x:v>
      </x:c>
      <x:c r="K217" s="59" t="n">
        <x:f>I217*'Seasons'!I27</x:f>
        <x:v>0.25</x:v>
      </x:c>
      <x:c r="L217" s="13" t="n">
        <x:f>I217-J217-K217</x:f>
        <x:v>0.5</x:v>
      </x:c>
      <x:c r="M217" s="478" t="n">
        <x:f>'Seasons'!O27</x:f>
        <x:v>15</x:v>
      </x:c>
      <x:c r="N217" s="478" t="n">
        <x:f>'Seasons'!P27</x:f>
        <x:v>14</x:v>
      </x:c>
      <x:c r="O217" s="61" t="n">
        <x:f>1/G217</x:f>
        <x:v>0.002</x:v>
      </x:c>
      <x:c r="P217" s="13" t="n">
        <x:f>J217/G217</x:f>
        <x:v>0.0035</x:v>
      </x:c>
    </x:row>
    <x:row r="218" ht="25" customHeight="1">
      <x:c r="C218" s="31" t="n">
        <x:v>213</x:v>
      </x:c>
      <x:c r="D218" s="31" t="n">
        <x:v>22</x:v>
      </x:c>
      <x:c r="E218" s="31" t="str">
        <x:v>The Monochromatic Zenith</x:v>
      </x:c>
      <x:c r="F218" s="467" t="str">
        <x:v>#666666</x:v>
      </x:c>
      <x:c r="G218" s="477" t="n">
        <x:f>'Seasons'!F27</x:f>
        <x:v>500</x:v>
      </x:c>
      <x:c r="H218" s="34" t="n">
        <x:f>'Seasons'!G27</x:f>
        <x:v>0.005</x:v>
      </x:c>
      <x:c r="I218" s="36" t="n">
        <x:f>G218*H218</x:f>
        <x:v>2.5</x:v>
      </x:c>
      <x:c r="J218" s="34" t="n">
        <x:f>I218*'Seasons'!H27</x:f>
        <x:v>1.75</x:v>
      </x:c>
      <x:c r="K218" s="34" t="n">
        <x:f>I218*'Seasons'!I27</x:f>
        <x:v>0.25</x:v>
      </x:c>
      <x:c r="L218" s="36" t="n">
        <x:f>I218-J218-K218</x:f>
        <x:v>0.5</x:v>
      </x:c>
      <x:c r="M218" s="477" t="n">
        <x:f>'Seasons'!O27</x:f>
        <x:v>15</x:v>
      </x:c>
      <x:c r="N218" s="477" t="n">
        <x:f>'Seasons'!P27</x:f>
        <x:v>14</x:v>
      </x:c>
      <x:c r="O218" s="37" t="n">
        <x:f>1/G218</x:f>
        <x:v>0.002</x:v>
      </x:c>
      <x:c r="P218" s="36" t="n">
        <x:f>J218/G218</x:f>
        <x:v>0.0035</x:v>
      </x:c>
    </x:row>
    <x:row r="219" ht="25" customHeight="1">
      <x:c r="C219" s="2" t="n">
        <x:v>214</x:v>
      </x:c>
      <x:c r="D219" s="2" t="n">
        <x:v>22</x:v>
      </x:c>
      <x:c r="E219" s="2" t="str">
        <x:v>The Monochromatic Zenith</x:v>
      </x:c>
      <x:c r="F219" s="469" t="str">
        <x:v>#999999</x:v>
      </x:c>
      <x:c r="G219" s="478" t="n">
        <x:f>'Seasons'!F27</x:f>
        <x:v>500</x:v>
      </x:c>
      <x:c r="H219" s="59" t="n">
        <x:f>'Seasons'!G27</x:f>
        <x:v>0.005</x:v>
      </x:c>
      <x:c r="I219" s="13" t="n">
        <x:f>G219*H219</x:f>
        <x:v>2.5</x:v>
      </x:c>
      <x:c r="J219" s="59" t="n">
        <x:f>I219*'Seasons'!H27</x:f>
        <x:v>1.75</x:v>
      </x:c>
      <x:c r="K219" s="59" t="n">
        <x:f>I219*'Seasons'!I27</x:f>
        <x:v>0.25</x:v>
      </x:c>
      <x:c r="L219" s="13" t="n">
        <x:f>I219-J219-K219</x:f>
        <x:v>0.5</x:v>
      </x:c>
      <x:c r="M219" s="478" t="n">
        <x:f>'Seasons'!O27</x:f>
        <x:v>15</x:v>
      </x:c>
      <x:c r="N219" s="478" t="n">
        <x:f>'Seasons'!P27</x:f>
        <x:v>14</x:v>
      </x:c>
      <x:c r="O219" s="61" t="n">
        <x:f>1/G219</x:f>
        <x:v>0.002</x:v>
      </x:c>
      <x:c r="P219" s="13" t="n">
        <x:f>J219/G219</x:f>
        <x:v>0.0035</x:v>
      </x:c>
    </x:row>
    <x:row r="220" ht="25" customHeight="1">
      <x:c r="C220" s="31" t="n">
        <x:v>215</x:v>
      </x:c>
      <x:c r="D220" s="31" t="n">
        <x:v>22</x:v>
      </x:c>
      <x:c r="E220" s="31" t="str">
        <x:v>The Monochromatic Zenith</x:v>
      </x:c>
      <x:c r="F220" s="471" t="str">
        <x:v>#CCCCCC</x:v>
      </x:c>
      <x:c r="G220" s="477" t="n">
        <x:f>'Seasons'!F27</x:f>
        <x:v>500</x:v>
      </x:c>
      <x:c r="H220" s="34" t="n">
        <x:f>'Seasons'!G27</x:f>
        <x:v>0.005</x:v>
      </x:c>
      <x:c r="I220" s="36" t="n">
        <x:f>G220*H220</x:f>
        <x:v>2.5</x:v>
      </x:c>
      <x:c r="J220" s="34" t="n">
        <x:f>I220*'Seasons'!H27</x:f>
        <x:v>1.75</x:v>
      </x:c>
      <x:c r="K220" s="34" t="n">
        <x:f>I220*'Seasons'!I27</x:f>
        <x:v>0.25</x:v>
      </x:c>
      <x:c r="L220" s="36" t="n">
        <x:f>I220-J220-K220</x:f>
        <x:v>0.5</x:v>
      </x:c>
      <x:c r="M220" s="477" t="n">
        <x:f>'Seasons'!O27</x:f>
        <x:v>15</x:v>
      </x:c>
      <x:c r="N220" s="477" t="n">
        <x:f>'Seasons'!P27</x:f>
        <x:v>14</x:v>
      </x:c>
      <x:c r="O220" s="37" t="n">
        <x:f>1/G220</x:f>
        <x:v>0.002</x:v>
      </x:c>
      <x:c r="P220" s="36" t="n">
        <x:f>J220/G220</x:f>
        <x:v>0.0035</x:v>
      </x:c>
    </x:row>
    <x:row r="221" ht="25" customHeight="1">
      <x:c r="C221" s="2" t="n">
        <x:v>216</x:v>
      </x:c>
      <x:c r="D221" s="2" t="n">
        <x:v>22</x:v>
      </x:c>
      <x:c r="E221" s="2" t="str">
        <x:v>The Monochromatic Zenith</x:v>
      </x:c>
      <x:c r="F221" s="473" t="str">
        <x:v>#FFFFFF</x:v>
      </x:c>
      <x:c r="G221" s="478" t="n">
        <x:f>'Seasons'!F27</x:f>
        <x:v>500</x:v>
      </x:c>
      <x:c r="H221" s="59" t="n">
        <x:f>'Seasons'!G27</x:f>
        <x:v>0.005</x:v>
      </x:c>
      <x:c r="I221" s="13" t="n">
        <x:f>G221*H221</x:f>
        <x:v>2.5</x:v>
      </x:c>
      <x:c r="J221" s="59" t="n">
        <x:f>I221*'Seasons'!H27</x:f>
        <x:v>1.75</x:v>
      </x:c>
      <x:c r="K221" s="59" t="n">
        <x:f>I221*'Seasons'!I27</x:f>
        <x:v>0.25</x:v>
      </x:c>
      <x:c r="L221" s="13" t="n">
        <x:f>I221-J221-K221</x:f>
        <x:v>0.5</x:v>
      </x:c>
      <x:c r="M221" s="478" t="n">
        <x:f>'Seasons'!O27</x:f>
        <x:v>15</x:v>
      </x:c>
      <x:c r="N221" s="478" t="n">
        <x:f>'Seasons'!P27</x:f>
        <x:v>14</x:v>
      </x:c>
      <x:c r="O221" s="61" t="n">
        <x:f>1/G221</x:f>
        <x:v>0.002</x:v>
      </x:c>
      <x:c r="P221" s="13" t="n">
        <x:f>J221/G221</x:f>
        <x:v>0.0035</x:v>
      </x:c>
    </x:row>
    <x:row r="222" ht="25" customHeight="1"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</x:row>
    <x:row r="223" ht="30" customHeight="1">
      <x:c r="C223" s="6"/>
      <x:c r="D223" s="6"/>
      <x:c r="E223" s="6"/>
      <x:c r="F223" s="6" t="str">
        <x:v>All collections</x:v>
      </x:c>
      <x:c r="G223" s="6" t="n">
        <x:f>SUM(G6:G221)</x:f>
        <x:v>53000</x:v>
      </x:c>
      <x:c r="H223" s="6"/>
      <x:c r="I223" s="480" t="n">
        <x:f>SUM(I6:I221)</x:f>
        <x:v>265</x:v>
      </x:c>
      <x:c r="J223" s="480" t="n">
        <x:f>SUM(J6:J221)</x:f>
        <x:v>185.50000000000017</x:v>
      </x:c>
      <x:c r="K223" s="480" t="n">
        <x:f>SUM(K6:K221)</x:f>
        <x:v>26.49999999999995</x:v>
      </x:c>
      <x:c r="L223" s="480" t="n">
        <x:f>SUM(L6:L221)</x:f>
        <x:v>52.9999999999999</x:v>
      </x:c>
      <x:c r="M223" s="6"/>
      <x:c r="N223" s="6"/>
      <x:c r="O223" s="6"/>
      <x:c r="P223" s="6"/>
    </x:row>
    <x:row r="224" ht="25" customHeight="1"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</x:row>
    <x:row r="225" ht="25" customHeight="1"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</x:row>
  </x:sheetData>
  <x:pageMargins left="0.7" right="0.7" top="0.75" bottom="0.75" header="0.3" footer="0.3"/>
</x:worksheet>
</file>