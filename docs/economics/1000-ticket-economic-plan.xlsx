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38325c505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fecc17358d41f1"/>
    <x:sheet xmlns:r="http://schemas.openxmlformats.org/officeDocument/2006/relationships" name="Seasons" sheetId="2" r:id="Rce18aa0684a2460a"/>
    <x:sheet xmlns:r="http://schemas.openxmlformats.org/officeDocument/2006/relationships" name="Collections" sheetId="3" r:id="R8ce758322e31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0;(#,##0.0000);&quot;–&quot;"/>
    <x:numFmt numFmtId="201" formatCode="0.0%"/>
    <x:numFmt numFmtId="202" formatCode="&quot;$&quot;#,##0;(&quot;$&quot;#,##0);&quot;–&quot;"/>
    <x:numFmt numFmtId="203" formatCode="#,##0;(#,##0);&quot;–&quot;"/>
    <x:numFmt numFmtId="204" formatCode="0.0000"/>
    <x:numFmt numFmtId="205" formatCode="@"/>
    <x:numFmt numFmtId="206" formatCode="0.00%"/>
  </x:numFmts>
  <x:fonts count="12">
    <x:font>
      <x:sz val="11"/>
      <x:name val="Carlito"/>
    </x:font>
    <x:font>
      <x:sz val="11"/>
      <x:color rgb="FF1E3931"/>
      <x:name val="Arial"/>
    </x:font>
    <x:font>
      <x:b/>
      <x:sz val="16"/>
      <x:color rgb="FF1E3931"/>
      <x:name val="Arial"/>
    </x:font>
    <x:font>
      <x:i/>
      <x:sz val="11"/>
      <x:color rgb="FF65746C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color rgb="FF1E3931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sz val="11"/>
      <x:color rgb="FF65746C"/>
      <x:name val="Arial"/>
    </x:font>
    <x:font>
      <x:sz val="11"/>
      <x:color rgb="FF008000"/>
      <x:name val="Arial"/>
    </x:font>
  </x:fonts>
  <x:fills count="222">
    <x:fill>
      <x:patternFill patternType="none"/>
    </x:fill>
    <x:fill>
      <x:patternFill patternType="gray125"/>
    </x:fill>
    <x:fill>
      <x:patternFill patternType="solid">
        <x:fgColor rgb="FF1E3931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DF3E7"/>
      </x:patternFill>
    </x:fill>
    <x:fill>
      <x:patternFill patternType="solid">
        <x:fgColor rgb="FFF3F6F0"/>
      </x:patternFill>
    </x:fill>
    <x:fill>
      <x:patternFill patternType="solid">
        <x:fgColor rgb="FF330000"/>
      </x:patternFill>
    </x:fill>
    <x:fill>
      <x:patternFill patternType="solid">
        <x:fgColor rgb="FF660000"/>
      </x:patternFill>
    </x:fill>
    <x:fill>
      <x:patternFill patternType="solid">
        <x:fgColor rgb="FF990000"/>
      </x:patternFill>
    </x:fill>
    <x:fill>
      <x:patternFill patternType="solid">
        <x:fgColor rgb="FFCC0000"/>
      </x:patternFill>
    </x:fill>
    <x:fill>
      <x:patternFill patternType="solid">
        <x:fgColor rgb="FFFF0000"/>
      </x:patternFill>
    </x:fill>
    <x:fill>
      <x:patternFill patternType="solid">
        <x:fgColor rgb="FF663300"/>
      </x:patternFill>
    </x:fill>
    <x:fill>
      <x:patternFill patternType="solid">
        <x:fgColor rgb="FF993300"/>
      </x:patternFill>
    </x:fill>
    <x:fill>
      <x:patternFill patternType="solid">
        <x:fgColor rgb="FFCC3300"/>
      </x:patternFill>
    </x:fill>
    <x:fill>
      <x:patternFill patternType="solid">
        <x:fgColor rgb="FFFF3300"/>
      </x:patternFill>
    </x:fill>
    <x:fill>
      <x:patternFill patternType="solid">
        <x:fgColor rgb="FFFF6600"/>
      </x:patternFill>
    </x:fill>
    <x:fill>
      <x:patternFill patternType="solid">
        <x:fgColor rgb="FF996600"/>
      </x:patternFill>
    </x:fill>
    <x:fill>
      <x:patternFill patternType="solid">
        <x:fgColor rgb="FFCC6600"/>
      </x:patternFill>
    </x:fill>
    <x:fill>
      <x:patternFill patternType="solid">
        <x:fgColor rgb="FFCC9900"/>
      </x:patternFill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663333"/>
      </x:patternFill>
    </x:fill>
    <x:fill>
      <x:patternFill patternType="solid">
        <x:fgColor rgb="FF993333"/>
      </x:patternFill>
    </x:fill>
    <x:fill>
      <x:patternFill patternType="solid">
        <x:fgColor rgb="FFCC3333"/>
      </x:patternFill>
    </x:fill>
    <x:fill>
      <x:patternFill patternType="solid">
        <x:fgColor rgb="FFFF3333"/>
      </x:patternFill>
    </x:fill>
    <x:fill>
      <x:patternFill patternType="solid">
        <x:fgColor rgb="FF996633"/>
      </x:patternFill>
    </x:fill>
    <x:fill>
      <x:patternFill patternType="solid">
        <x:fgColor rgb="FFCC6633"/>
      </x:patternFill>
    </x:fill>
    <x:fill>
      <x:patternFill patternType="solid">
        <x:fgColor rgb="FFFF6633"/>
      </x:patternFill>
    </x:fill>
    <x:fill>
      <x:patternFill patternType="solid">
        <x:fgColor rgb="FFCC9933"/>
      </x:patternFill>
    </x:fill>
    <x:fill>
      <x:patternFill patternType="solid">
        <x:fgColor rgb="FFFF9933"/>
      </x:patternFill>
    </x:fill>
    <x:fill>
      <x:patternFill patternType="solid">
        <x:fgColor rgb="FFFFCC33"/>
      </x:patternFill>
    </x:fill>
    <x:fill>
      <x:patternFill patternType="solid">
        <x:fgColor rgb="FF996666"/>
      </x:patternFill>
    </x:fill>
    <x:fill>
      <x:patternFill patternType="solid">
        <x:fgColor rgb="FFCC6666"/>
      </x:patternFill>
    </x:fill>
    <x:fill>
      <x:patternFill patternType="solid">
        <x:fgColor rgb="FFFF6666"/>
      </x:patternFill>
    </x:fill>
    <x:fill>
      <x:patternFill patternType="solid">
        <x:fgColor rgb="FFCC9966"/>
      </x:patternFill>
    </x:fill>
    <x:fill>
      <x:patternFill patternType="solid">
        <x:fgColor rgb="FFFF9966"/>
      </x:patternFill>
    </x:fill>
    <x:fill>
      <x:patternFill patternType="solid">
        <x:fgColor rgb="FFFFFF00"/>
      </x:patternFill>
    </x:fill>
    <x:fill>
      <x:patternFill patternType="solid">
        <x:fgColor rgb="FFFFFF33"/>
      </x:patternFill>
    </x:fill>
    <x:fill>
      <x:patternFill patternType="solid">
        <x:fgColor rgb="FFFFFF66"/>
      </x:patternFill>
    </x:fill>
    <x:fill>
      <x:patternFill patternType="solid">
        <x:fgColor rgb="FFFFFF99"/>
      </x:patternFill>
    </x:fill>
    <x:fill>
      <x:patternFill patternType="solid">
        <x:fgColor rgb="FFFFFFCC"/>
      </x:patternFill>
    </x:fill>
    <x:fill>
      <x:patternFill patternType="solid">
        <x:fgColor rgb="FFCCCC00"/>
      </x:patternFill>
    </x:fill>
    <x:fill>
      <x:patternFill patternType="solid">
        <x:fgColor rgb="FFCCCC33"/>
      </x:patternFill>
    </x:fill>
    <x:fill>
      <x:patternFill patternType="solid">
        <x:fgColor rgb="FFCCCC66"/>
      </x:patternFill>
    </x:fill>
    <x:fill>
      <x:patternFill patternType="solid">
        <x:fgColor rgb="FFCCCC99"/>
      </x:patternFill>
    </x:fill>
    <x:fill>
      <x:patternFill patternType="solid">
        <x:fgColor rgb="FFFFCC66"/>
      </x:patternFill>
    </x:fill>
    <x:fill>
      <x:patternFill patternType="solid">
        <x:fgColor rgb="FF333300"/>
      </x:patternFill>
    </x:fill>
    <x:fill>
      <x:patternFill patternType="solid">
        <x:fgColor rgb="FF666600"/>
      </x:patternFill>
    </x:fill>
    <x:fill>
      <x:patternFill patternType="solid">
        <x:fgColor rgb="FF666633"/>
      </x:patternFill>
    </x:fill>
    <x:fill>
      <x:patternFill patternType="solid">
        <x:fgColor rgb="FF999900"/>
      </x:patternFill>
    </x:fill>
    <x:fill>
      <x:patternFill patternType="solid">
        <x:fgColor rgb="FF999933"/>
      </x:patternFill>
    </x:fill>
    <x:fill>
      <x:patternFill patternType="solid">
        <x:fgColor rgb="FF999966"/>
      </x:patternFill>
    </x:fill>
    <x:fill>
      <x:patternFill patternType="solid">
        <x:fgColor rgb="FF669900"/>
      </x:patternFill>
    </x:fill>
    <x:fill>
      <x:patternFill patternType="solid">
        <x:fgColor rgb="FF669933"/>
      </x:patternFill>
    </x:fill>
    <x:fill>
      <x:patternFill patternType="solid">
        <x:fgColor rgb="FF99CC00"/>
      </x:patternFill>
    </x:fill>
    <x:fill>
      <x:patternFill patternType="solid">
        <x:fgColor rgb="FF99CC33"/>
      </x:patternFill>
    </x:fill>
    <x:fill>
      <x:patternFill patternType="solid">
        <x:fgColor rgb="FF336600"/>
      </x:patternFill>
    </x:fill>
    <x:fill>
      <x:patternFill patternType="solid">
        <x:fgColor rgb="FF339900"/>
      </x:patternFill>
    </x:fill>
    <x:fill>
      <x:patternFill patternType="solid">
        <x:fgColor rgb="FF33CC00"/>
      </x:patternFill>
    </x:fill>
    <x:fill>
      <x:patternFill patternType="solid">
        <x:fgColor rgb="FF33FF00"/>
      </x:patternFill>
    </x:fill>
    <x:fill>
      <x:patternFill patternType="solid">
        <x:fgColor rgb="FF66CC00"/>
      </x:patternFill>
    </x:fill>
    <x:fill>
      <x:patternFill patternType="solid">
        <x:fgColor rgb="FF66FF00"/>
      </x:patternFill>
    </x:fill>
    <x:fill>
      <x:patternFill patternType="solid">
        <x:fgColor rgb="FF99FF00"/>
      </x:patternFill>
    </x:fill>
    <x:fill>
      <x:patternFill patternType="solid">
        <x:fgColor rgb="FF99FF33"/>
      </x:patternFill>
    </x:fill>
    <x:fill>
      <x:patternFill patternType="solid">
        <x:fgColor rgb="FFCCFF00"/>
      </x:patternFill>
    </x:fill>
    <x:fill>
      <x:patternFill patternType="solid">
        <x:fgColor rgb="FFCCFF33"/>
      </x:patternFill>
    </x:fill>
    <x:fill>
      <x:patternFill patternType="solid">
        <x:fgColor rgb="FFCCFF66"/>
      </x:patternFill>
    </x:fill>
    <x:fill>
      <x:patternFill patternType="solid">
        <x:fgColor rgb="FFCCFF99"/>
      </x:patternFill>
    </x:fill>
    <x:fill>
      <x:patternFill patternType="solid">
        <x:fgColor rgb="FFCCFFCC"/>
      </x:patternFill>
    </x:fill>
    <x:fill>
      <x:patternFill patternType="solid">
        <x:fgColor rgb="FF99CC66"/>
      </x:patternFill>
    </x:fill>
    <x:fill>
      <x:patternFill patternType="solid">
        <x:fgColor rgb="FF99CC99"/>
      </x:patternFill>
    </x:fill>
    <x:fill>
      <x:patternFill patternType="solid">
        <x:fgColor rgb="FF66CC33"/>
      </x:patternFill>
    </x:fill>
    <x:fill>
      <x:patternFill patternType="solid">
        <x:fgColor rgb="FF66CC66"/>
      </x:patternFill>
    </x:fill>
    <x:fill>
      <x:patternFill patternType="solid">
        <x:fgColor rgb="FF33CC33"/>
      </x:patternFill>
    </x:fill>
    <x:fill>
      <x:patternFill patternType="solid">
        <x:fgColor rgb="FF339933"/>
      </x:patternFill>
    </x:fill>
    <x:fill>
      <x:patternFill patternType="solid">
        <x:fgColor rgb="FF336633"/>
      </x:patternFill>
    </x:fill>
    <x:fill>
      <x:patternFill patternType="solid">
        <x:fgColor rgb="FF003300"/>
      </x:patternFill>
    </x:fill>
    <x:fill>
      <x:patternFill patternType="solid">
        <x:fgColor rgb="FF006600"/>
      </x:patternFill>
    </x:fill>
    <x:fill>
      <x:patternFill patternType="solid">
        <x:fgColor rgb="FF009900"/>
      </x:patternFill>
    </x:fill>
    <x:fill>
      <x:patternFill patternType="solid">
        <x:fgColor rgb="FF00CC00"/>
      </x:patternFill>
    </x:fill>
    <x:fill>
      <x:patternFill patternType="solid">
        <x:fgColor rgb="FF00FF00"/>
      </x:patternFill>
    </x:fill>
    <x:fill>
      <x:patternFill patternType="solid">
        <x:fgColor rgb="FF003333"/>
      </x:patternFill>
    </x:fill>
    <x:fill>
      <x:patternFill patternType="solid">
        <x:fgColor rgb="FF006633"/>
      </x:patternFill>
    </x:fill>
    <x:fill>
      <x:patternFill patternType="solid">
        <x:fgColor rgb="FF009933"/>
      </x:patternFill>
    </x:fill>
    <x:fill>
      <x:patternFill patternType="solid">
        <x:fgColor rgb="FF00CC33"/>
      </x:patternFill>
    </x:fill>
    <x:fill>
      <x:patternFill patternType="solid">
        <x:fgColor rgb="FF00FF33"/>
      </x:patternFill>
    </x:fill>
    <x:fill>
      <x:patternFill patternType="solid">
        <x:fgColor rgb="FF00FF66"/>
      </x:patternFill>
    </x:fill>
    <x:fill>
      <x:patternFill patternType="solid">
        <x:fgColor rgb="FF00FF99"/>
      </x:patternFill>
    </x:fill>
    <x:fill>
      <x:patternFill patternType="solid">
        <x:fgColor rgb="FF33FF66"/>
      </x:patternFill>
    </x:fill>
    <x:fill>
      <x:patternFill patternType="solid">
        <x:fgColor rgb="FF33FF99"/>
      </x:patternFill>
    </x:fill>
    <x:fill>
      <x:patternFill patternType="solid">
        <x:fgColor rgb="FF66FF66"/>
      </x:patternFill>
    </x:fill>
    <x:fill>
      <x:patternFill patternType="solid">
        <x:fgColor rgb="FF66FF99"/>
      </x:patternFill>
    </x:fill>
    <x:fill>
      <x:patternFill patternType="solid">
        <x:fgColor rgb="FF99FF66"/>
      </x:patternFill>
    </x:fill>
    <x:fill>
      <x:patternFill patternType="solid">
        <x:fgColor rgb="FF99FF99"/>
      </x:patternFill>
    </x:fill>
    <x:fill>
      <x:patternFill patternType="solid">
        <x:fgColor rgb="FF00CC66"/>
      </x:patternFill>
    </x:fill>
    <x:fill>
      <x:patternFill patternType="solid">
        <x:fgColor rgb="FF33CC66"/>
      </x:patternFill>
    </x:fill>
    <x:fill>
      <x:patternFill patternType="solid">
        <x:fgColor rgb="FF003366"/>
      </x:patternFill>
    </x:fill>
    <x:fill>
      <x:patternFill patternType="solid">
        <x:fgColor rgb="FF006666"/>
      </x:patternFill>
    </x:fill>
    <x:fill>
      <x:patternFill patternType="solid">
        <x:fgColor rgb="FF006699"/>
      </x:patternFill>
    </x:fill>
    <x:fill>
      <x:patternFill patternType="solid">
        <x:fgColor rgb="FF009966"/>
      </x:patternFill>
    </x:fill>
    <x:fill>
      <x:patternFill patternType="solid">
        <x:fgColor rgb="FF009999"/>
      </x:patternFill>
    </x:fill>
    <x:fill>
      <x:patternFill patternType="solid">
        <x:fgColor rgb="FF336666"/>
      </x:patternFill>
    </x:fill>
    <x:fill>
      <x:patternFill patternType="solid">
        <x:fgColor rgb="FF339966"/>
      </x:patternFill>
    </x:fill>
    <x:fill>
      <x:patternFill patternType="solid">
        <x:fgColor rgb="FF339999"/>
      </x:patternFill>
    </x:fill>
    <x:fill>
      <x:patternFill patternType="solid">
        <x:fgColor rgb="FF003399"/>
      </x:patternFill>
    </x:fill>
    <x:fill>
      <x:patternFill patternType="solid">
        <x:fgColor rgb="FF0033CC"/>
      </x:patternFill>
    </x:fill>
    <x:fill>
      <x:patternFill patternType="solid">
        <x:fgColor rgb="FF00CC99"/>
      </x:patternFill>
    </x:fill>
    <x:fill>
      <x:patternFill patternType="solid">
        <x:fgColor rgb="FF00CCCC"/>
      </x:patternFill>
    </x:fill>
    <x:fill>
      <x:patternFill patternType="solid">
        <x:fgColor rgb="FF00CCFF"/>
      </x:patternFill>
    </x:fill>
    <x:fill>
      <x:patternFill patternType="solid">
        <x:fgColor rgb="FF00FFCC"/>
      </x:patternFill>
    </x:fill>
    <x:fill>
      <x:patternFill patternType="solid">
        <x:fgColor rgb="FF00FFFF"/>
      </x:patternFill>
    </x:fill>
    <x:fill>
      <x:patternFill patternType="solid">
        <x:fgColor rgb="FF33CCCC"/>
      </x:patternFill>
    </x:fill>
    <x:fill>
      <x:patternFill patternType="solid">
        <x:fgColor rgb="FF33CCFF"/>
      </x:patternFill>
    </x:fill>
    <x:fill>
      <x:patternFill patternType="solid">
        <x:fgColor rgb="FF33FFCC"/>
      </x:patternFill>
    </x:fill>
    <x:fill>
      <x:patternFill patternType="solid">
        <x:fgColor rgb="FF33FFFF"/>
      </x:patternFill>
    </x:fill>
    <x:fill>
      <x:patternFill patternType="solid">
        <x:fgColor rgb="FF66FFFF"/>
      </x:patternFill>
    </x:fill>
    <x:fill>
      <x:patternFill patternType="solid">
        <x:fgColor rgb="FF66CCCC"/>
      </x:patternFill>
    </x:fill>
    <x:fill>
      <x:patternFill patternType="solid">
        <x:fgColor rgb="FF66CCFF"/>
      </x:patternFill>
    </x:fill>
    <x:fill>
      <x:patternFill patternType="solid">
        <x:fgColor rgb="FF66FFCC"/>
      </x:patternFill>
    </x:fill>
    <x:fill>
      <x:patternFill patternType="solid">
        <x:fgColor rgb="FF99CCCC"/>
      </x:patternFill>
    </x:fill>
    <x:fill>
      <x:patternFill patternType="solid">
        <x:fgColor rgb="FF99CCFF"/>
      </x:patternFill>
    </x:fill>
    <x:fill>
      <x:patternFill patternType="solid">
        <x:fgColor rgb="FF99FFCC"/>
      </x:patternFill>
    </x:fill>
    <x:fill>
      <x:patternFill patternType="solid">
        <x:fgColor rgb="FF99FFFF"/>
      </x:patternFill>
    </x:fill>
    <x:fill>
      <x:patternFill patternType="solid">
        <x:fgColor rgb="FFCCFFFF"/>
      </x:patternFill>
    </x:fill>
    <x:fill>
      <x:patternFill patternType="solid">
        <x:fgColor rgb="FF3399CC"/>
      </x:patternFill>
    </x:fill>
    <x:fill>
      <x:patternFill patternType="solid">
        <x:fgColor rgb="FF336699"/>
      </x:patternFill>
    </x:fill>
    <x:fill>
      <x:patternFill patternType="solid">
        <x:fgColor rgb="FF0066CC"/>
      </x:patternFill>
    </x:fill>
    <x:fill>
      <x:patternFill patternType="solid">
        <x:fgColor rgb="FF0066FF"/>
      </x:patternFill>
    </x:fill>
    <x:fill>
      <x:patternFill patternType="solid">
        <x:fgColor rgb="FF0099CC"/>
      </x:patternFill>
    </x:fill>
    <x:fill>
      <x:patternFill patternType="solid">
        <x:fgColor rgb="FF0099FF"/>
      </x:patternFill>
    </x:fill>
    <x:fill>
      <x:patternFill patternType="solid">
        <x:fgColor rgb="FF3366CC"/>
      </x:patternFill>
    </x:fill>
    <x:fill>
      <x:patternFill patternType="solid">
        <x:fgColor rgb="FF3366FF"/>
      </x:patternFill>
    </x:fill>
    <x:fill>
      <x:patternFill patternType="solid">
        <x:fgColor rgb="FF3399FF"/>
      </x:patternFill>
    </x:fill>
    <x:fill>
      <x:patternFill patternType="solid">
        <x:fgColor rgb="FF6699CC"/>
      </x:patternFill>
    </x:fill>
    <x:fill>
      <x:patternFill patternType="solid">
        <x:fgColor rgb="FF6699FF"/>
      </x:patternFill>
    </x:fill>
    <x:fill>
      <x:patternFill patternType="solid">
        <x:fgColor rgb="FF666699"/>
      </x:patternFill>
    </x:fill>
    <x:fill>
      <x:patternFill patternType="solid">
        <x:fgColor rgb="FF000033"/>
      </x:patternFill>
    </x:fill>
    <x:fill>
      <x:patternFill patternType="solid">
        <x:fgColor rgb="FF000066"/>
      </x:patternFill>
    </x:fill>
    <x:fill>
      <x:patternFill patternType="solid">
        <x:fgColor rgb="FF000099"/>
      </x:patternFill>
    </x:fill>
    <x:fill>
      <x:patternFill patternType="solid">
        <x:fgColor rgb="FF0000CC"/>
      </x:patternFill>
    </x:fill>
    <x:fill>
      <x:patternFill patternType="solid">
        <x:fgColor rgb="FF0000FF"/>
      </x:patternFill>
    </x:fill>
    <x:fill>
      <x:patternFill patternType="solid">
        <x:fgColor rgb="FF330033"/>
      </x:patternFill>
    </x:fill>
    <x:fill>
      <x:patternFill patternType="solid">
        <x:fgColor rgb="FF330066"/>
      </x:patternFill>
    </x:fill>
    <x:fill>
      <x:patternFill patternType="solid">
        <x:fgColor rgb="FF330099"/>
      </x:patternFill>
    </x:fill>
    <x:fill>
      <x:patternFill patternType="solid">
        <x:fgColor rgb="FF3300CC"/>
      </x:patternFill>
    </x:fill>
    <x:fill>
      <x:patternFill patternType="solid">
        <x:fgColor rgb="FF3300FF"/>
      </x:patternFill>
    </x:fill>
    <x:fill>
      <x:patternFill patternType="solid">
        <x:fgColor rgb="FF0033FF"/>
      </x:patternFill>
    </x:fill>
    <x:fill>
      <x:patternFill patternType="solid">
        <x:fgColor rgb="FF6666CC"/>
      </x:patternFill>
    </x:fill>
    <x:fill>
      <x:patternFill patternType="solid">
        <x:fgColor rgb="FF6666FF"/>
      </x:patternFill>
    </x:fill>
    <x:fill>
      <x:patternFill patternType="solid">
        <x:fgColor rgb="FF9999CC"/>
      </x:patternFill>
    </x:fill>
    <x:fill>
      <x:patternFill patternType="solid">
        <x:fgColor rgb="FF9999FF"/>
      </x:patternFill>
    </x:fill>
    <x:fill>
      <x:patternFill patternType="solid">
        <x:fgColor rgb="FFCCCCFF"/>
      </x:patternFill>
    </x:fill>
    <x:fill>
      <x:patternFill patternType="solid">
        <x:fgColor rgb="FF333366"/>
      </x:patternFill>
    </x:fill>
    <x:fill>
      <x:patternFill patternType="solid">
        <x:fgColor rgb="FF333399"/>
      </x:patternFill>
    </x:fill>
    <x:fill>
      <x:patternFill patternType="solid">
        <x:fgColor rgb="FF3333CC"/>
      </x:patternFill>
    </x:fill>
    <x:fill>
      <x:patternFill patternType="solid">
        <x:fgColor rgb="FF3333FF"/>
      </x:patternFill>
    </x:fill>
    <x:fill>
      <x:patternFill patternType="solid">
        <x:fgColor rgb="FF660033"/>
      </x:patternFill>
    </x:fill>
    <x:fill>
      <x:patternFill patternType="solid">
        <x:fgColor rgb="FF660066"/>
      </x:patternFill>
    </x:fill>
    <x:fill>
      <x:patternFill patternType="solid">
        <x:fgColor rgb="FF660099"/>
      </x:patternFill>
    </x:fill>
    <x:fill>
      <x:patternFill patternType="solid">
        <x:fgColor rgb="FF6600CC"/>
      </x:patternFill>
    </x:fill>
    <x:fill>
      <x:patternFill patternType="solid">
        <x:fgColor rgb="FF6600FF"/>
      </x:patternFill>
    </x:fill>
    <x:fill>
      <x:patternFill patternType="solid">
        <x:fgColor rgb="FF990033"/>
      </x:patternFill>
    </x:fill>
    <x:fill>
      <x:patternFill patternType="solid">
        <x:fgColor rgb="FF990066"/>
      </x:patternFill>
    </x:fill>
    <x:fill>
      <x:patternFill patternType="solid">
        <x:fgColor rgb="FF990099"/>
      </x:patternFill>
    </x:fill>
    <x:fill>
      <x:patternFill patternType="solid">
        <x:fgColor rgb="FF9900CC"/>
      </x:patternFill>
    </x:fill>
    <x:fill>
      <x:patternFill patternType="solid">
        <x:fgColor rgb="FF9900FF"/>
      </x:patternFill>
    </x:fill>
    <x:fill>
      <x:patternFill patternType="solid">
        <x:fgColor rgb="FFCC0033"/>
      </x:patternFill>
    </x:fill>
    <x:fill>
      <x:patternFill patternType="solid">
        <x:fgColor rgb="FFCC0066"/>
      </x:patternFill>
    </x:fill>
    <x:fill>
      <x:patternFill patternType="solid">
        <x:fgColor rgb="FFCC0099"/>
      </x:patternFill>
    </x:fill>
    <x:fill>
      <x:patternFill patternType="solid">
        <x:fgColor rgb="FFCC00CC"/>
      </x:patternFill>
    </x:fill>
    <x:fill>
      <x:patternFill patternType="solid">
        <x:fgColor rgb="FFCC00FF"/>
      </x:patternFill>
    </x:fill>
    <x:fill>
      <x:patternFill patternType="solid">
        <x:fgColor rgb="FF663366"/>
      </x:patternFill>
    </x:fill>
    <x:fill>
      <x:patternFill patternType="solid">
        <x:fgColor rgb="FF663399"/>
      </x:patternFill>
    </x:fill>
    <x:fill>
      <x:patternFill patternType="solid">
        <x:fgColor rgb="FF6633CC"/>
      </x:patternFill>
    </x:fill>
    <x:fill>
      <x:patternFill patternType="solid">
        <x:fgColor rgb="FF6633FF"/>
      </x:patternFill>
    </x:fill>
    <x:fill>
      <x:patternFill patternType="solid">
        <x:fgColor rgb="FF993366"/>
      </x:patternFill>
    </x:fill>
    <x:fill>
      <x:patternFill patternType="solid">
        <x:fgColor rgb="FF993399"/>
      </x:patternFill>
    </x:fill>
    <x:fill>
      <x:patternFill patternType="solid">
        <x:fgColor rgb="FF9933CC"/>
      </x:patternFill>
    </x:fill>
    <x:fill>
      <x:patternFill patternType="solid">
        <x:fgColor rgb="FF9933FF"/>
      </x:patternFill>
    </x:fill>
    <x:fill>
      <x:patternFill patternType="solid">
        <x:fgColor rgb="FFCC3366"/>
      </x:patternFill>
    </x:fill>
    <x:fill>
      <x:patternFill patternType="solid">
        <x:fgColor rgb="FFCC3399"/>
      </x:patternFill>
    </x:fill>
    <x:fill>
      <x:patternFill patternType="solid">
        <x:fgColor rgb="FFCC33CC"/>
      </x:patternFill>
    </x:fill>
    <x:fill>
      <x:patternFill patternType="solid">
        <x:fgColor rgb="FFCC33FF"/>
      </x:patternFill>
    </x:fill>
    <x:fill>
      <x:patternFill patternType="solid">
        <x:fgColor rgb="FF996699"/>
      </x:patternFill>
    </x:fill>
    <x:fill>
      <x:patternFill patternType="solid">
        <x:fgColor rgb="FF9966CC"/>
      </x:patternFill>
    </x:fill>
    <x:fill>
      <x:patternFill patternType="solid">
        <x:fgColor rgb="FF9966FF"/>
      </x:patternFill>
    </x:fill>
    <x:fill>
      <x:patternFill patternType="solid">
        <x:fgColor rgb="FFFF0033"/>
      </x:patternFill>
    </x:fill>
    <x:fill>
      <x:patternFill patternType="solid">
        <x:fgColor rgb="FFFF0066"/>
      </x:patternFill>
    </x:fill>
    <x:fill>
      <x:patternFill patternType="solid">
        <x:fgColor rgb="FFFF0099"/>
      </x:patternFill>
    </x:fill>
    <x:fill>
      <x:patternFill patternType="solid">
        <x:fgColor rgb="FFFF00CC"/>
      </x:patternFill>
    </x:fill>
    <x:fill>
      <x:patternFill patternType="solid">
        <x:fgColor rgb="FFFF00FF"/>
      </x:patternFill>
    </x:fill>
    <x:fill>
      <x:patternFill patternType="solid">
        <x:fgColor rgb="FFFF3366"/>
      </x:patternFill>
    </x:fill>
    <x:fill>
      <x:patternFill patternType="solid">
        <x:fgColor rgb="FFFF3399"/>
      </x:patternFill>
    </x:fill>
    <x:fill>
      <x:patternFill patternType="solid">
        <x:fgColor rgb="FFFF33CC"/>
      </x:patternFill>
    </x:fill>
    <x:fill>
      <x:patternFill patternType="solid">
        <x:fgColor rgb="FFFF33FF"/>
      </x:patternFill>
    </x:fill>
    <x:fill>
      <x:patternFill patternType="solid">
        <x:fgColor rgb="FFCC6699"/>
      </x:patternFill>
    </x:fill>
    <x:fill>
      <x:patternFill patternType="solid">
        <x:fgColor rgb="FFCC66CC"/>
      </x:patternFill>
    </x:fill>
    <x:fill>
      <x:patternFill patternType="solid">
        <x:fgColor rgb="FFCC66FF"/>
      </x:patternFill>
    </x:fill>
    <x:fill>
      <x:patternFill patternType="solid">
        <x:fgColor rgb="FFFF6699"/>
      </x:patternFill>
    </x:fill>
    <x:fill>
      <x:patternFill patternType="solid">
        <x:fgColor rgb="FFFF66CC"/>
      </x:patternFill>
    </x:fill>
    <x:fill>
      <x:patternFill patternType="solid">
        <x:fgColor rgb="FFFF66FF"/>
      </x:patternFill>
    </x:fill>
    <x:fill>
      <x:patternFill patternType="solid">
        <x:fgColor rgb="FFCC99CC"/>
      </x:patternFill>
    </x:fill>
    <x:fill>
      <x:patternFill patternType="solid">
        <x:fgColor rgb="FFCC99FF"/>
      </x:patternFill>
    </x:fill>
    <x:fill>
      <x:patternFill patternType="solid">
        <x:fgColor rgb="FFFF99CC"/>
      </x:patternFill>
    </x:fill>
    <x:fill>
      <x:patternFill patternType="solid">
        <x:fgColor rgb="FFFF99FF"/>
      </x:patternFill>
    </x:fill>
    <x:fill>
      <x:patternFill patternType="solid">
        <x:fgColor rgb="FFFFCCFF"/>
      </x:patternFill>
    </x:fill>
    <x:fill>
      <x:patternFill patternType="solid">
        <x:fgColor rgb="FF669966"/>
      </x:patternFill>
    </x:fill>
    <x:fill>
      <x:patternFill patternType="solid">
        <x:fgColor rgb="FF669999"/>
      </x:patternFill>
    </x:fill>
    <x:fill>
      <x:patternFill patternType="solid">
        <x:fgColor rgb="FFCC9999"/>
      </x:patternFill>
    </x:fill>
    <x:fill>
      <x:patternFill patternType="solid">
        <x:fgColor rgb="FFFFCC99"/>
      </x:patternFill>
    </x:fill>
    <x:fill>
      <x:patternFill patternType="solid">
        <x:fgColor rgb="FFFFCCCC"/>
      </x:patternFill>
    </x:fill>
    <x:fill>
      <x:patternFill patternType="solid">
        <x:fgColor rgb="FF330011"/>
      </x:patternFill>
    </x:fill>
    <x:fill>
      <x:patternFill patternType="solid">
        <x:fgColor rgb="FF331100"/>
      </x:patternFill>
    </x:fill>
    <x:fill>
      <x:patternFill patternType="solid">
        <x:fgColor rgb="FF110033"/>
      </x:patternFill>
    </x:fill>
    <x:fill>
      <x:patternFill patternType="solid">
        <x:fgColor rgb="FF001133"/>
      </x:patternFill>
    </x:fill>
    <x:fill>
      <x:patternFill patternType="solid">
        <x:fgColor rgb="FF003311"/>
      </x:patternFill>
    </x:fill>
    <x:fill>
      <x:patternFill patternType="solid">
        <x:fgColor rgb="FF000000"/>
      </x:patternFill>
    </x:fill>
    <x:fill>
      <x:patternFill patternType="solid">
        <x:fgColor rgb="FF333333"/>
      </x:patternFill>
    </x:fill>
    <x:fill>
      <x:patternFill patternType="solid">
        <x:fgColor rgb="FF666666"/>
      </x:patternFill>
    </x:fill>
    <x:fill>
      <x:patternFill patternType="solid">
        <x:fgColor rgb="FF999999"/>
      </x:patternFill>
    </x:fill>
    <x:fill>
      <x:patternFill patternType="solid">
        <x:fgColor rgb="FFCCCCCC"/>
      </x:patternFill>
    </x:fill>
  </x:fills>
  <x:borders count="1">
    <x:border/>
  </x:borders>
  <x:cellStyleXfs count="1">
    <x:xf numFmtId="0" fontId="0" fillId="0" borderId="0"/>
  </x:cellStyleXfs>
  <x:cellXfs count="4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11" fillId="6" borderId="0" xfId="0" applyNumberFormat="1" applyFont="1" applyFill="1" applyBorder="1" applyAlignment="1">
      <x:alignment vertical="center"/>
    </x:xf>
    <x:xf numFmtId="201" fontId="11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8" fillId="19" borderId="0" xfId="0" applyNumberFormat="1" applyFont="1" applyFill="1" applyBorder="1" applyAlignment="1">
      <x:alignment vertical="center"/>
    </x:xf>
    <x:xf numFmtId="0" fontId="1" fillId="20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 applyAlignment="1">
      <x:alignment vertical="center"/>
    </x:xf>
    <x:xf numFmtId="0" fontId="8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4" fillId="23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4" fillId="24" borderId="0" xfId="0" applyNumberFormat="1" applyFont="1" applyFill="1" applyBorder="1" applyAlignment="1">
      <x:alignment vertical="center"/>
    </x:xf>
    <x:xf numFmtId="0" fontId="1" fillId="25" borderId="0" xfId="0" applyNumberFormat="1" applyFont="1" applyFill="1" applyBorder="1" applyAlignment="1">
      <x:alignment vertical="center"/>
    </x:xf>
    <x:xf numFmtId="0" fontId="8" fillId="25" borderId="0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0" fontId="4" fillId="26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 applyAlignment="1">
      <x:alignment vertical="center"/>
    </x:xf>
    <x:xf numFmtId="0" fontId="8" fillId="28" borderId="0" xfId="0" applyNumberFormat="1" applyFont="1" applyFill="1" applyBorder="1" applyAlignment="1">
      <x:alignment vertical="center"/>
    </x:xf>
    <x:xf numFmtId="0" fontId="1" fillId="29" borderId="0" xfId="0" applyNumberFormat="1" applyFont="1" applyFill="1" applyBorder="1" applyAlignment="1">
      <x:alignment vertical="center"/>
    </x:xf>
    <x:xf numFmtId="0" fontId="8" fillId="29" borderId="0" xfId="0" applyNumberFormat="1" applyFont="1" applyFill="1" applyBorder="1" applyAlignment="1">
      <x:alignment vertical="center"/>
    </x:xf>
    <x:xf numFmtId="0" fontId="1" fillId="30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 applyAlignment="1">
      <x:alignment vertical="center"/>
    </x:xf>
    <x:xf numFmtId="0" fontId="8" fillId="31" borderId="0" xfId="0" applyNumberFormat="1" applyFont="1" applyFill="1" applyBorder="1" applyAlignment="1">
      <x:alignment vertical="center"/>
    </x:xf>
    <x:xf numFmtId="0" fontId="1" fillId="32" borderId="0" xfId="0" applyNumberFormat="1" applyFont="1" applyFill="1" applyBorder="1" applyAlignment="1">
      <x:alignment vertical="center"/>
    </x:xf>
    <x:xf numFmtId="0" fontId="4" fillId="32" borderId="0" xfId="0" applyNumberFormat="1" applyFont="1" applyFill="1" applyBorder="1" applyAlignment="1">
      <x:alignment vertical="center"/>
    </x:xf>
    <x:xf numFmtId="0" fontId="1" fillId="33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 applyAlignment="1">
      <x:alignment vertical="center"/>
    </x:xf>
    <x:xf numFmtId="0" fontId="8" fillId="34" borderId="0" xfId="0" applyNumberFormat="1" applyFont="1" applyFill="1" applyBorder="1" applyAlignment="1">
      <x:alignment vertical="center"/>
    </x:xf>
    <x:xf numFmtId="0" fontId="1" fillId="35" borderId="0" xfId="0" applyNumberFormat="1" applyFont="1" applyFill="1" applyBorder="1" applyAlignment="1">
      <x:alignment vertical="center"/>
    </x:xf>
    <x:xf numFmtId="0" fontId="8" fillId="35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/>
    </x:xf>
    <x:xf numFmtId="0" fontId="8" fillId="36" borderId="0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 applyAlignment="1">
      <x:alignment vertical="center"/>
    </x:xf>
    <x:xf numFmtId="0" fontId="8" fillId="37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0" fontId="8" fillId="38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/>
    </x:xf>
    <x:xf numFmtId="0" fontId="8" fillId="39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vertical="center"/>
    </x:xf>
    <x:xf numFmtId="0" fontId="8" fillId="40" borderId="0" xfId="0" applyNumberFormat="1" applyFont="1" applyFill="1" applyBorder="1" applyAlignment="1">
      <x:alignment vertical="center"/>
    </x:xf>
    <x:xf numFmtId="0" fontId="1" fillId="41" borderId="0" xfId="0" applyNumberFormat="1" applyFont="1" applyFill="1" applyBorder="1" applyAlignment="1">
      <x:alignment vertical="center"/>
    </x:xf>
    <x:xf numFmtId="0" fontId="8" fillId="41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8" fillId="42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/>
    </x:xf>
    <x:xf numFmtId="0" fontId="8" fillId="43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/>
    </x:xf>
    <x:xf numFmtId="0" fontId="8" fillId="44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vertical="center"/>
    </x:xf>
    <x:xf numFmtId="0" fontId="8" fillId="45" borderId="0" xfId="0" applyNumberFormat="1" applyFont="1" applyFill="1" applyBorder="1" applyAlignment="1">
      <x:alignment vertical="center"/>
    </x:xf>
    <x:xf numFmtId="0" fontId="1" fillId="46" borderId="0" xfId="0" applyNumberFormat="1" applyFont="1" applyFill="1" applyBorder="1" applyAlignment="1">
      <x:alignment vertical="center"/>
    </x:xf>
    <x:xf numFmtId="0" fontId="8" fillId="46" borderId="0" xfId="0" applyNumberFormat="1" applyFont="1" applyFill="1" applyBorder="1" applyAlignment="1">
      <x:alignment vertical="center"/>
    </x:xf>
    <x:xf numFmtId="0" fontId="1" fillId="47" borderId="0" xfId="0" applyNumberFormat="1" applyFont="1" applyFill="1" applyBorder="1" applyAlignment="1">
      <x:alignment vertical="center"/>
    </x:xf>
    <x:xf numFmtId="0" fontId="4" fillId="47" borderId="0" xfId="0" applyNumberFormat="1" applyFont="1" applyFill="1" applyBorder="1" applyAlignment="1">
      <x:alignment vertical="center"/>
    </x:xf>
    <x:xf numFmtId="0" fontId="1" fillId="48" borderId="0" xfId="0" applyNumberFormat="1" applyFont="1" applyFill="1" applyBorder="1" applyAlignment="1">
      <x:alignment vertical="center"/>
    </x:xf>
    <x:xf numFmtId="0" fontId="4" fillId="48" borderId="0" xfId="0" applyNumberFormat="1" applyFont="1" applyFill="1" applyBorder="1" applyAlignment="1">
      <x:alignment vertical="center"/>
    </x:xf>
    <x:xf numFmtId="0" fontId="1" fillId="49" borderId="0" xfId="0" applyNumberFormat="1" applyFont="1" applyFill="1" applyBorder="1" applyAlignment="1">
      <x:alignment vertical="center"/>
    </x:xf>
    <x:xf numFmtId="0" fontId="4" fillId="49" borderId="0" xfId="0" applyNumberFormat="1" applyFont="1" applyFill="1" applyBorder="1" applyAlignment="1">
      <x:alignment vertical="center"/>
    </x:xf>
    <x:xf numFmtId="0" fontId="1" fillId="50" borderId="0" xfId="0" applyNumberFormat="1" applyFont="1" applyFill="1" applyBorder="1" applyAlignment="1">
      <x:alignment vertical="center"/>
    </x:xf>
    <x:xf numFmtId="0" fontId="8" fillId="50" borderId="0" xfId="0" applyNumberFormat="1" applyFont="1" applyFill="1" applyBorder="1" applyAlignment="1">
      <x:alignment vertical="center"/>
    </x:xf>
    <x:xf numFmtId="0" fontId="1" fillId="51" borderId="0" xfId="0" applyNumberFormat="1" applyFont="1" applyFill="1" applyBorder="1" applyAlignment="1">
      <x:alignment vertical="center"/>
    </x:xf>
    <x:xf numFmtId="0" fontId="8" fillId="51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vertical="center"/>
    </x:xf>
    <x:xf numFmtId="0" fontId="8" fillId="52" borderId="0" xfId="0" applyNumberFormat="1" applyFont="1" applyFill="1" applyBorder="1" applyAlignment="1">
      <x:alignment vertical="center"/>
    </x:xf>
    <x:xf numFmtId="0" fontId="1" fillId="53" borderId="0" xfId="0" applyNumberFormat="1" applyFont="1" applyFill="1" applyBorder="1" applyAlignment="1">
      <x:alignment vertical="center"/>
    </x:xf>
    <x:xf numFmtId="0" fontId="8" fillId="53" borderId="0" xfId="0" applyNumberFormat="1" applyFont="1" applyFill="1" applyBorder="1" applyAlignment="1">
      <x:alignment vertical="center"/>
    </x:xf>
    <x:xf numFmtId="0" fontId="1" fillId="54" borderId="0" xfId="0" applyNumberFormat="1" applyFont="1" applyFill="1" applyBorder="1" applyAlignment="1">
      <x:alignment vertical="center"/>
    </x:xf>
    <x:xf numFmtId="0" fontId="8" fillId="54" borderId="0" xfId="0" applyNumberFormat="1" applyFont="1" applyFill="1" applyBorder="1" applyAlignment="1">
      <x:alignment vertical="center"/>
    </x:xf>
    <x:xf numFmtId="0" fontId="1" fillId="55" borderId="0" xfId="0" applyNumberFormat="1" applyFont="1" applyFill="1" applyBorder="1" applyAlignment="1">
      <x:alignment vertical="center"/>
    </x:xf>
    <x:xf numFmtId="0" fontId="8" fillId="55" borderId="0" xfId="0" applyNumberFormat="1" applyFont="1" applyFill="1" applyBorder="1" applyAlignment="1">
      <x:alignment vertical="center"/>
    </x:xf>
    <x:xf numFmtId="0" fontId="1" fillId="56" borderId="0" xfId="0" applyNumberFormat="1" applyFont="1" applyFill="1" applyBorder="1" applyAlignment="1">
      <x:alignment vertical="center"/>
    </x:xf>
    <x:xf numFmtId="0" fontId="8" fillId="56" borderId="0" xfId="0" applyNumberFormat="1" applyFont="1" applyFill="1" applyBorder="1" applyAlignment="1">
      <x:alignment vertical="center"/>
    </x:xf>
    <x:xf numFmtId="0" fontId="1" fillId="57" borderId="0" xfId="0" applyNumberFormat="1" applyFont="1" applyFill="1" applyBorder="1" applyAlignment="1">
      <x:alignment vertical="center"/>
    </x:xf>
    <x:xf numFmtId="0" fontId="4" fillId="57" borderId="0" xfId="0" applyNumberFormat="1" applyFont="1" applyFill="1" applyBorder="1" applyAlignment="1">
      <x:alignment vertical="center"/>
    </x:xf>
    <x:xf numFmtId="0" fontId="1" fillId="58" borderId="0" xfId="0" applyNumberFormat="1" applyFont="1" applyFill="1" applyBorder="1" applyAlignment="1">
      <x:alignment vertical="center"/>
    </x:xf>
    <x:xf numFmtId="0" fontId="8" fillId="58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8" fillId="59" borderId="0" xfId="0" applyNumberFormat="1" applyFont="1" applyFill="1" applyBorder="1" applyAlignment="1">
      <x:alignment vertical="center"/>
    </x:xf>
    <x:xf numFmtId="0" fontId="1" fillId="60" borderId="0" xfId="0" applyNumberFormat="1" applyFont="1" applyFill="1" applyBorder="1" applyAlignment="1">
      <x:alignment vertical="center"/>
    </x:xf>
    <x:xf numFmtId="0" fontId="8" fillId="60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/>
    </x:xf>
    <x:xf numFmtId="0" fontId="8" fillId="61" borderId="0" xfId="0" applyNumberFormat="1" applyFont="1" applyFill="1" applyBorder="1" applyAlignment="1">
      <x:alignment vertical="center"/>
    </x:xf>
    <x:xf numFmtId="0" fontId="1" fillId="62" borderId="0" xfId="0" applyNumberFormat="1" applyFont="1" applyFill="1" applyBorder="1" applyAlignment="1">
      <x:alignment vertical="center"/>
    </x:xf>
    <x:xf numFmtId="0" fontId="8" fillId="62" borderId="0" xfId="0" applyNumberFormat="1" applyFont="1" applyFill="1" applyBorder="1" applyAlignment="1">
      <x:alignment vertical="center"/>
    </x:xf>
    <x:xf numFmtId="0" fontId="1" fillId="63" borderId="0" xfId="0" applyNumberFormat="1" applyFont="1" applyFill="1" applyBorder="1" applyAlignment="1">
      <x:alignment vertical="center"/>
    </x:xf>
    <x:xf numFmtId="0" fontId="8" fillId="63" borderId="0" xfId="0" applyNumberFormat="1" applyFont="1" applyFill="1" applyBorder="1" applyAlignment="1">
      <x:alignment vertical="center"/>
    </x:xf>
    <x:xf numFmtId="0" fontId="1" fillId="64" borderId="0" xfId="0" applyNumberFormat="1" applyFont="1" applyFill="1" applyBorder="1" applyAlignment="1">
      <x:alignment vertical="center"/>
    </x:xf>
    <x:xf numFmtId="0" fontId="8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8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8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8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8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8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8" fillId="70" borderId="0" xfId="0" applyNumberFormat="1" applyFont="1" applyFill="1" applyBorder="1" applyAlignment="1">
      <x:alignment vertical="center"/>
    </x:xf>
    <x:xf numFmtId="0" fontId="1" fillId="71" borderId="0" xfId="0" applyNumberFormat="1" applyFont="1" applyFill="1" applyBorder="1" applyAlignment="1">
      <x:alignment vertical="center"/>
    </x:xf>
    <x:xf numFmtId="0" fontId="8" fillId="71" borderId="0" xfId="0" applyNumberFormat="1" applyFont="1" applyFill="1" applyBorder="1" applyAlignment="1">
      <x:alignment vertical="center"/>
    </x:xf>
    <x:xf numFmtId="0" fontId="1" fillId="72" borderId="0" xfId="0" applyNumberFormat="1" applyFont="1" applyFill="1" applyBorder="1" applyAlignment="1">
      <x:alignment vertical="center"/>
    </x:xf>
    <x:xf numFmtId="0" fontId="8" fillId="72" borderId="0" xfId="0" applyNumberFormat="1" applyFont="1" applyFill="1" applyBorder="1" applyAlignment="1">
      <x:alignment vertical="center"/>
    </x:xf>
    <x:xf numFmtId="0" fontId="1" fillId="73" borderId="0" xfId="0" applyNumberFormat="1" applyFont="1" applyFill="1" applyBorder="1" applyAlignment="1">
      <x:alignment vertical="center"/>
    </x:xf>
    <x:xf numFmtId="0" fontId="8" fillId="73" borderId="0" xfId="0" applyNumberFormat="1" applyFont="1" applyFill="1" applyBorder="1" applyAlignment="1">
      <x:alignment vertical="center"/>
    </x:xf>
    <x:xf numFmtId="0" fontId="1" fillId="74" borderId="0" xfId="0" applyNumberFormat="1" applyFont="1" applyFill="1" applyBorder="1" applyAlignment="1">
      <x:alignment vertical="center"/>
    </x:xf>
    <x:xf numFmtId="0" fontId="8" fillId="74" borderId="0" xfId="0" applyNumberFormat="1" applyFont="1" applyFill="1" applyBorder="1" applyAlignment="1">
      <x:alignment vertical="center"/>
    </x:xf>
    <x:xf numFmtId="0" fontId="1" fillId="75" borderId="0" xfId="0" applyNumberFormat="1" applyFont="1" applyFill="1" applyBorder="1" applyAlignment="1">
      <x:alignment vertical="center"/>
    </x:xf>
    <x:xf numFmtId="0" fontId="8" fillId="75" borderId="0" xfId="0" applyNumberFormat="1" applyFont="1" applyFill="1" applyBorder="1" applyAlignment="1">
      <x:alignment vertical="center"/>
    </x:xf>
    <x:xf numFmtId="0" fontId="1" fillId="76" borderId="0" xfId="0" applyNumberFormat="1" applyFont="1" applyFill="1" applyBorder="1" applyAlignment="1">
      <x:alignment vertical="center"/>
    </x:xf>
    <x:xf numFmtId="0" fontId="4" fillId="76" borderId="0" xfId="0" applyNumberFormat="1" applyFont="1" applyFill="1" applyBorder="1" applyAlignment="1">
      <x:alignment vertical="center"/>
    </x:xf>
    <x:xf numFmtId="0" fontId="1" fillId="77" borderId="0" xfId="0" applyNumberFormat="1" applyFont="1" applyFill="1" applyBorder="1" applyAlignment="1">
      <x:alignment vertical="center"/>
    </x:xf>
    <x:xf numFmtId="0" fontId="4" fillId="77" borderId="0" xfId="0" applyNumberFormat="1" applyFont="1" applyFill="1" applyBorder="1" applyAlignment="1">
      <x:alignment vertical="center"/>
    </x:xf>
    <x:xf numFmtId="0" fontId="1" fillId="78" borderId="0" xfId="0" applyNumberFormat="1" applyFont="1" applyFill="1" applyBorder="1" applyAlignment="1">
      <x:alignment vertical="center"/>
    </x:xf>
    <x:xf numFmtId="0" fontId="4" fillId="78" borderId="0" xfId="0" applyNumberFormat="1" applyFont="1" applyFill="1" applyBorder="1" applyAlignment="1">
      <x:alignment vertical="center"/>
    </x:xf>
    <x:xf numFmtId="0" fontId="1" fillId="79" borderId="0" xfId="0" applyNumberFormat="1" applyFont="1" applyFill="1" applyBorder="1" applyAlignment="1">
      <x:alignment vertical="center"/>
    </x:xf>
    <x:xf numFmtId="0" fontId="8" fillId="79" borderId="0" xfId="0" applyNumberFormat="1" applyFont="1" applyFill="1" applyBorder="1" applyAlignment="1">
      <x:alignment vertical="center"/>
    </x:xf>
    <x:xf numFmtId="0" fontId="1" fillId="80" borderId="0" xfId="0" applyNumberFormat="1" applyFont="1" applyFill="1" applyBorder="1" applyAlignment="1">
      <x:alignment vertical="center"/>
    </x:xf>
    <x:xf numFmtId="0" fontId="8" fillId="80" borderId="0" xfId="0" applyNumberFormat="1" applyFont="1" applyFill="1" applyBorder="1" applyAlignment="1">
      <x:alignment vertical="center"/>
    </x:xf>
    <x:xf numFmtId="0" fontId="1" fillId="81" borderId="0" xfId="0" applyNumberFormat="1" applyFont="1" applyFill="1" applyBorder="1" applyAlignment="1">
      <x:alignment vertical="center"/>
    </x:xf>
    <x:xf numFmtId="0" fontId="8" fillId="81" borderId="0" xfId="0" applyNumberFormat="1" applyFont="1" applyFill="1" applyBorder="1" applyAlignment="1">
      <x:alignment vertical="center"/>
    </x:xf>
    <x:xf numFmtId="0" fontId="1" fillId="82" borderId="0" xfId="0" applyNumberFormat="1" applyFont="1" applyFill="1" applyBorder="1" applyAlignment="1">
      <x:alignment vertical="center"/>
    </x:xf>
    <x:xf numFmtId="0" fontId="4" fillId="82" borderId="0" xfId="0" applyNumberFormat="1" applyFont="1" applyFill="1" applyBorder="1" applyAlignment="1">
      <x:alignment vertical="center"/>
    </x:xf>
    <x:xf numFmtId="0" fontId="1" fillId="83" borderId="0" xfId="0" applyNumberFormat="1" applyFont="1" applyFill="1" applyBorder="1" applyAlignment="1">
      <x:alignment vertical="center"/>
    </x:xf>
    <x:xf numFmtId="0" fontId="4" fillId="83" borderId="0" xfId="0" applyNumberFormat="1" applyFont="1" applyFill="1" applyBorder="1" applyAlignment="1">
      <x:alignment vertical="center"/>
    </x:xf>
    <x:xf numFmtId="0" fontId="1" fillId="84" borderId="0" xfId="0" applyNumberFormat="1" applyFont="1" applyFill="1" applyBorder="1" applyAlignment="1">
      <x:alignment vertical="center"/>
    </x:xf>
    <x:xf numFmtId="0" fontId="8" fillId="84" borderId="0" xfId="0" applyNumberFormat="1" applyFont="1" applyFill="1" applyBorder="1" applyAlignment="1">
      <x:alignment vertical="center"/>
    </x:xf>
    <x:xf numFmtId="0" fontId="1" fillId="85" borderId="0" xfId="0" applyNumberFormat="1" applyFont="1" applyFill="1" applyBorder="1" applyAlignment="1">
      <x:alignment vertical="center"/>
    </x:xf>
    <x:xf numFmtId="0" fontId="8" fillId="85" borderId="0" xfId="0" applyNumberFormat="1" applyFont="1" applyFill="1" applyBorder="1" applyAlignment="1">
      <x:alignment vertical="center"/>
    </x:xf>
    <x:xf numFmtId="0" fontId="1" fillId="86" borderId="0" xfId="0" applyNumberFormat="1" applyFont="1" applyFill="1" applyBorder="1" applyAlignment="1">
      <x:alignment vertical="center"/>
    </x:xf>
    <x:xf numFmtId="0" fontId="8" fillId="86" borderId="0" xfId="0" applyNumberFormat="1" applyFont="1" applyFill="1" applyBorder="1" applyAlignment="1">
      <x:alignment vertical="center"/>
    </x:xf>
    <x:xf numFmtId="0" fontId="1" fillId="87" borderId="0" xfId="0" applyNumberFormat="1" applyFont="1" applyFill="1" applyBorder="1" applyAlignment="1">
      <x:alignment vertical="center"/>
    </x:xf>
    <x:xf numFmtId="0" fontId="8" fillId="87" borderId="0" xfId="0" applyNumberFormat="1" applyFont="1" applyFill="1" applyBorder="1" applyAlignment="1">
      <x:alignment vertical="center"/>
    </x:xf>
    <x:xf numFmtId="0" fontId="1" fillId="88" borderId="0" xfId="0" applyNumberFormat="1" applyFont="1" applyFill="1" applyBorder="1" applyAlignment="1">
      <x:alignment vertical="center"/>
    </x:xf>
    <x:xf numFmtId="0" fontId="8" fillId="88" borderId="0" xfId="0" applyNumberFormat="1" applyFont="1" applyFill="1" applyBorder="1" applyAlignment="1">
      <x:alignment vertical="center"/>
    </x:xf>
    <x:xf numFmtId="0" fontId="1" fillId="89" borderId="0" xfId="0" applyNumberFormat="1" applyFont="1" applyFill="1" applyBorder="1" applyAlignment="1">
      <x:alignment vertical="center"/>
    </x:xf>
    <x:xf numFmtId="0" fontId="8" fillId="89" borderId="0" xfId="0" applyNumberFormat="1" applyFont="1" applyFill="1" applyBorder="1" applyAlignment="1">
      <x:alignment vertical="center"/>
    </x:xf>
    <x:xf numFmtId="0" fontId="1" fillId="90" borderId="0" xfId="0" applyNumberFormat="1" applyFont="1" applyFill="1" applyBorder="1" applyAlignment="1">
      <x:alignment vertical="center"/>
    </x:xf>
    <x:xf numFmtId="0" fontId="8" fillId="90" borderId="0" xfId="0" applyNumberFormat="1" applyFont="1" applyFill="1" applyBorder="1" applyAlignment="1">
      <x:alignment vertical="center"/>
    </x:xf>
    <x:xf numFmtId="0" fontId="1" fillId="91" borderId="0" xfId="0" applyNumberFormat="1" applyFont="1" applyFill="1" applyBorder="1" applyAlignment="1">
      <x:alignment vertical="center"/>
    </x:xf>
    <x:xf numFmtId="0" fontId="8" fillId="91" borderId="0" xfId="0" applyNumberFormat="1" applyFont="1" applyFill="1" applyBorder="1" applyAlignment="1">
      <x:alignment vertical="center"/>
    </x:xf>
    <x:xf numFmtId="0" fontId="1" fillId="92" borderId="0" xfId="0" applyNumberFormat="1" applyFont="1" applyFill="1" applyBorder="1" applyAlignment="1">
      <x:alignment vertical="center"/>
    </x:xf>
    <x:xf numFmtId="0" fontId="8" fillId="92" borderId="0" xfId="0" applyNumberFormat="1" applyFont="1" applyFill="1" applyBorder="1" applyAlignment="1">
      <x:alignment vertical="center"/>
    </x:xf>
    <x:xf numFmtId="0" fontId="1" fillId="93" borderId="0" xfId="0" applyNumberFormat="1" applyFont="1" applyFill="1" applyBorder="1" applyAlignment="1">
      <x:alignment vertical="center"/>
    </x:xf>
    <x:xf numFmtId="0" fontId="8" fillId="93" borderId="0" xfId="0" applyNumberFormat="1" applyFont="1" applyFill="1" applyBorder="1" applyAlignment="1">
      <x:alignment vertical="center"/>
    </x:xf>
    <x:xf numFmtId="0" fontId="1" fillId="94" borderId="0" xfId="0" applyNumberFormat="1" applyFont="1" applyFill="1" applyBorder="1" applyAlignment="1">
      <x:alignment vertical="center"/>
    </x:xf>
    <x:xf numFmtId="0" fontId="8" fillId="94" borderId="0" xfId="0" applyNumberFormat="1" applyFont="1" applyFill="1" applyBorder="1" applyAlignment="1">
      <x:alignment vertical="center"/>
    </x:xf>
    <x:xf numFmtId="0" fontId="1" fillId="95" borderId="0" xfId="0" applyNumberFormat="1" applyFont="1" applyFill="1" applyBorder="1" applyAlignment="1">
      <x:alignment vertical="center"/>
    </x:xf>
    <x:xf numFmtId="0" fontId="8" fillId="95" borderId="0" xfId="0" applyNumberFormat="1" applyFont="1" applyFill="1" applyBorder="1" applyAlignment="1">
      <x:alignment vertical="center"/>
    </x:xf>
    <x:xf numFmtId="0" fontId="1" fillId="96" borderId="0" xfId="0" applyNumberFormat="1" applyFont="1" applyFill="1" applyBorder="1" applyAlignment="1">
      <x:alignment vertical="center"/>
    </x:xf>
    <x:xf numFmtId="0" fontId="8" fillId="96" borderId="0" xfId="0" applyNumberFormat="1" applyFont="1" applyFill="1" applyBorder="1" applyAlignment="1">
      <x:alignment vertical="center"/>
    </x:xf>
    <x:xf numFmtId="0" fontId="1" fillId="97" borderId="0" xfId="0" applyNumberFormat="1" applyFont="1" applyFill="1" applyBorder="1" applyAlignment="1">
      <x:alignment vertical="center"/>
    </x:xf>
    <x:xf numFmtId="0" fontId="4" fillId="97" borderId="0" xfId="0" applyNumberFormat="1" applyFont="1" applyFill="1" applyBorder="1" applyAlignment="1">
      <x:alignment vertical="center"/>
    </x:xf>
    <x:xf numFmtId="0" fontId="1" fillId="98" borderId="0" xfId="0" applyNumberFormat="1" applyFont="1" applyFill="1" applyBorder="1" applyAlignment="1">
      <x:alignment vertical="center"/>
    </x:xf>
    <x:xf numFmtId="0" fontId="4" fillId="98" borderId="0" xfId="0" applyNumberFormat="1" applyFont="1" applyFill="1" applyBorder="1" applyAlignment="1">
      <x:alignment vertical="center"/>
    </x:xf>
    <x:xf numFmtId="0" fontId="1" fillId="99" borderId="0" xfId="0" applyNumberFormat="1" applyFont="1" applyFill="1" applyBorder="1" applyAlignment="1">
      <x:alignment vertical="center"/>
    </x:xf>
    <x:xf numFmtId="0" fontId="4" fillId="99" borderId="0" xfId="0" applyNumberFormat="1" applyFont="1" applyFill="1" applyBorder="1" applyAlignment="1">
      <x:alignment vertical="center"/>
    </x:xf>
    <x:xf numFmtId="0" fontId="1" fillId="100" borderId="0" xfId="0" applyNumberFormat="1" applyFont="1" applyFill="1" applyBorder="1" applyAlignment="1">
      <x:alignment vertical="center"/>
    </x:xf>
    <x:xf numFmtId="0" fontId="8" fillId="100" borderId="0" xfId="0" applyNumberFormat="1" applyFont="1" applyFill="1" applyBorder="1" applyAlignment="1">
      <x:alignment vertical="center"/>
    </x:xf>
    <x:xf numFmtId="0" fontId="1" fillId="101" borderId="0" xfId="0" applyNumberFormat="1" applyFont="1" applyFill="1" applyBorder="1" applyAlignment="1">
      <x:alignment vertical="center"/>
    </x:xf>
    <x:xf numFmtId="0" fontId="8" fillId="101" borderId="0" xfId="0" applyNumberFormat="1" applyFont="1" applyFill="1" applyBorder="1" applyAlignment="1">
      <x:alignment vertical="center"/>
    </x:xf>
    <x:xf numFmtId="0" fontId="1" fillId="102" borderId="0" xfId="0" applyNumberFormat="1" applyFont="1" applyFill="1" applyBorder="1" applyAlignment="1">
      <x:alignment vertical="center"/>
    </x:xf>
    <x:xf numFmtId="0" fontId="4" fillId="102" borderId="0" xfId="0" applyNumberFormat="1" applyFont="1" applyFill="1" applyBorder="1" applyAlignment="1">
      <x:alignment vertical="center"/>
    </x:xf>
    <x:xf numFmtId="0" fontId="1" fillId="103" borderId="0" xfId="0" applyNumberFormat="1" applyFont="1" applyFill="1" applyBorder="1" applyAlignment="1">
      <x:alignment vertical="center"/>
    </x:xf>
    <x:xf numFmtId="0" fontId="8" fillId="103" borderId="0" xfId="0" applyNumberFormat="1" applyFont="1" applyFill="1" applyBorder="1" applyAlignment="1">
      <x:alignment vertical="center"/>
    </x:xf>
    <x:xf numFmtId="0" fontId="1" fillId="104" borderId="0" xfId="0" applyNumberFormat="1" applyFont="1" applyFill="1" applyBorder="1" applyAlignment="1">
      <x:alignment vertical="center"/>
    </x:xf>
    <x:xf numFmtId="0" fontId="8" fillId="104" borderId="0" xfId="0" applyNumberFormat="1" applyFont="1" applyFill="1" applyBorder="1" applyAlignment="1">
      <x:alignment vertical="center"/>
    </x:xf>
    <x:xf numFmtId="0" fontId="1" fillId="105" borderId="0" xfId="0" applyNumberFormat="1" applyFont="1" applyFill="1" applyBorder="1" applyAlignment="1">
      <x:alignment vertical="center"/>
    </x:xf>
    <x:xf numFmtId="0" fontId="4" fillId="105" borderId="0" xfId="0" applyNumberFormat="1" applyFont="1" applyFill="1" applyBorder="1" applyAlignment="1">
      <x:alignment vertical="center"/>
    </x:xf>
    <x:xf numFmtId="0" fontId="1" fillId="106" borderId="0" xfId="0" applyNumberFormat="1" applyFont="1" applyFill="1" applyBorder="1" applyAlignment="1">
      <x:alignment vertical="center"/>
    </x:xf>
    <x:xf numFmtId="0" fontId="4" fillId="106" borderId="0" xfId="0" applyNumberFormat="1" applyFont="1" applyFill="1" applyBorder="1" applyAlignment="1">
      <x:alignment vertical="center"/>
    </x:xf>
    <x:xf numFmtId="0" fontId="1" fillId="107" borderId="0" xfId="0" applyNumberFormat="1" applyFont="1" applyFill="1" applyBorder="1" applyAlignment="1">
      <x:alignment vertical="center"/>
    </x:xf>
    <x:xf numFmtId="0" fontId="8" fillId="107" borderId="0" xfId="0" applyNumberFormat="1" applyFont="1" applyFill="1" applyBorder="1" applyAlignment="1">
      <x:alignment vertical="center"/>
    </x:xf>
    <x:xf numFmtId="0" fontId="1" fillId="108" borderId="0" xfId="0" applyNumberFormat="1" applyFont="1" applyFill="1" applyBorder="1" applyAlignment="1">
      <x:alignment vertical="center"/>
    </x:xf>
    <x:xf numFmtId="0" fontId="8" fillId="108" borderId="0" xfId="0" applyNumberFormat="1" applyFont="1" applyFill="1" applyBorder="1" applyAlignment="1">
      <x:alignment vertical="center"/>
    </x:xf>
    <x:xf numFmtId="0" fontId="1" fillId="109" borderId="0" xfId="0" applyNumberFormat="1" applyFont="1" applyFill="1" applyBorder="1" applyAlignment="1">
      <x:alignment vertical="center"/>
    </x:xf>
    <x:xf numFmtId="0" fontId="8" fillId="109" borderId="0" xfId="0" applyNumberFormat="1" applyFont="1" applyFill="1" applyBorder="1" applyAlignment="1">
      <x:alignment vertical="center"/>
    </x:xf>
    <x:xf numFmtId="0" fontId="1" fillId="110" borderId="0" xfId="0" applyNumberFormat="1" applyFont="1" applyFill="1" applyBorder="1" applyAlignment="1">
      <x:alignment vertical="center"/>
    </x:xf>
    <x:xf numFmtId="0" fontId="8" fillId="110" borderId="0" xfId="0" applyNumberFormat="1" applyFont="1" applyFill="1" applyBorder="1" applyAlignment="1">
      <x:alignment vertical="center"/>
    </x:xf>
    <x:xf numFmtId="0" fontId="1" fillId="111" borderId="0" xfId="0" applyNumberFormat="1" applyFont="1" applyFill="1" applyBorder="1" applyAlignment="1">
      <x:alignment vertical="center"/>
    </x:xf>
    <x:xf numFmtId="0" fontId="8" fillId="111" borderId="0" xfId="0" applyNumberFormat="1" applyFont="1" applyFill="1" applyBorder="1" applyAlignment="1">
      <x:alignment vertical="center"/>
    </x:xf>
    <x:xf numFmtId="0" fontId="1" fillId="112" borderId="0" xfId="0" applyNumberFormat="1" applyFont="1" applyFill="1" applyBorder="1" applyAlignment="1">
      <x:alignment vertical="center"/>
    </x:xf>
    <x:xf numFmtId="0" fontId="8" fillId="112" borderId="0" xfId="0" applyNumberFormat="1" applyFont="1" applyFill="1" applyBorder="1" applyAlignment="1">
      <x:alignment vertical="center"/>
    </x:xf>
    <x:xf numFmtId="0" fontId="1" fillId="113" borderId="0" xfId="0" applyNumberFormat="1" applyFont="1" applyFill="1" applyBorder="1" applyAlignment="1">
      <x:alignment vertical="center"/>
    </x:xf>
    <x:xf numFmtId="0" fontId="8" fillId="113" borderId="0" xfId="0" applyNumberFormat="1" applyFont="1" applyFill="1" applyBorder="1" applyAlignment="1">
      <x:alignment vertical="center"/>
    </x:xf>
    <x:xf numFmtId="0" fontId="1" fillId="114" borderId="0" xfId="0" applyNumberFormat="1" applyFont="1" applyFill="1" applyBorder="1" applyAlignment="1">
      <x:alignment vertical="center"/>
    </x:xf>
    <x:xf numFmtId="0" fontId="8" fillId="114" borderId="0" xfId="0" applyNumberFormat="1" applyFont="1" applyFill="1" applyBorder="1" applyAlignment="1">
      <x:alignment vertical="center"/>
    </x:xf>
    <x:xf numFmtId="0" fontId="1" fillId="115" borderId="0" xfId="0" applyNumberFormat="1" applyFont="1" applyFill="1" applyBorder="1" applyAlignment="1">
      <x:alignment vertical="center"/>
    </x:xf>
    <x:xf numFmtId="0" fontId="8" fillId="115" borderId="0" xfId="0" applyNumberFormat="1" applyFont="1" applyFill="1" applyBorder="1" applyAlignment="1">
      <x:alignment vertical="center"/>
    </x:xf>
    <x:xf numFmtId="0" fontId="1" fillId="116" borderId="0" xfId="0" applyNumberFormat="1" applyFont="1" applyFill="1" applyBorder="1" applyAlignment="1">
      <x:alignment vertical="center"/>
    </x:xf>
    <x:xf numFmtId="0" fontId="8" fillId="116" borderId="0" xfId="0" applyNumberFormat="1" applyFont="1" applyFill="1" applyBorder="1" applyAlignment="1">
      <x:alignment vertical="center"/>
    </x:xf>
    <x:xf numFmtId="0" fontId="1" fillId="117" borderId="0" xfId="0" applyNumberFormat="1" applyFont="1" applyFill="1" applyBorder="1" applyAlignment="1">
      <x:alignment vertical="center"/>
    </x:xf>
    <x:xf numFmtId="0" fontId="8" fillId="117" borderId="0" xfId="0" applyNumberFormat="1" applyFont="1" applyFill="1" applyBorder="1" applyAlignment="1">
      <x:alignment vertical="center"/>
    </x:xf>
    <x:xf numFmtId="0" fontId="1" fillId="118" borderId="0" xfId="0" applyNumberFormat="1" applyFont="1" applyFill="1" applyBorder="1" applyAlignment="1">
      <x:alignment vertical="center"/>
    </x:xf>
    <x:xf numFmtId="0" fontId="8" fillId="118" borderId="0" xfId="0" applyNumberFormat="1" applyFont="1" applyFill="1" applyBorder="1" applyAlignment="1">
      <x:alignment vertical="center"/>
    </x:xf>
    <x:xf numFmtId="0" fontId="1" fillId="119" borderId="0" xfId="0" applyNumberFormat="1" applyFont="1" applyFill="1" applyBorder="1" applyAlignment="1">
      <x:alignment vertical="center"/>
    </x:xf>
    <x:xf numFmtId="0" fontId="8" fillId="119" borderId="0" xfId="0" applyNumberFormat="1" applyFont="1" applyFill="1" applyBorder="1" applyAlignment="1">
      <x:alignment vertical="center"/>
    </x:xf>
    <x:xf numFmtId="0" fontId="1" fillId="120" borderId="0" xfId="0" applyNumberFormat="1" applyFont="1" applyFill="1" applyBorder="1" applyAlignment="1">
      <x:alignment vertical="center"/>
    </x:xf>
    <x:xf numFmtId="0" fontId="8" fillId="120" borderId="0" xfId="0" applyNumberFormat="1" applyFont="1" applyFill="1" applyBorder="1" applyAlignment="1">
      <x:alignment vertical="center"/>
    </x:xf>
    <x:xf numFmtId="0" fontId="1" fillId="121" borderId="0" xfId="0" applyNumberFormat="1" applyFont="1" applyFill="1" applyBorder="1" applyAlignment="1">
      <x:alignment vertical="center"/>
    </x:xf>
    <x:xf numFmtId="0" fontId="8" fillId="121" borderId="0" xfId="0" applyNumberFormat="1" applyFont="1" applyFill="1" applyBorder="1" applyAlignment="1">
      <x:alignment vertical="center"/>
    </x:xf>
    <x:xf numFmtId="0" fontId="1" fillId="122" borderId="0" xfId="0" applyNumberFormat="1" applyFont="1" applyFill="1" applyBorder="1" applyAlignment="1">
      <x:alignment vertical="center"/>
    </x:xf>
    <x:xf numFmtId="0" fontId="8" fillId="122" borderId="0" xfId="0" applyNumberFormat="1" applyFont="1" applyFill="1" applyBorder="1" applyAlignment="1">
      <x:alignment vertical="center"/>
    </x:xf>
    <x:xf numFmtId="0" fontId="1" fillId="123" borderId="0" xfId="0" applyNumberFormat="1" applyFont="1" applyFill="1" applyBorder="1" applyAlignment="1">
      <x:alignment vertical="center"/>
    </x:xf>
    <x:xf numFmtId="0" fontId="8" fillId="123" borderId="0" xfId="0" applyNumberFormat="1" applyFont="1" applyFill="1" applyBorder="1" applyAlignment="1">
      <x:alignment vertical="center"/>
    </x:xf>
    <x:xf numFmtId="0" fontId="1" fillId="124" borderId="0" xfId="0" applyNumberFormat="1" applyFont="1" applyFill="1" applyBorder="1" applyAlignment="1">
      <x:alignment vertical="center"/>
    </x:xf>
    <x:xf numFmtId="0" fontId="8" fillId="124" borderId="0" xfId="0" applyNumberFormat="1" applyFont="1" applyFill="1" applyBorder="1" applyAlignment="1">
      <x:alignment vertical="center"/>
    </x:xf>
    <x:xf numFmtId="0" fontId="1" fillId="125" borderId="0" xfId="0" applyNumberFormat="1" applyFont="1" applyFill="1" applyBorder="1" applyAlignment="1">
      <x:alignment vertical="center"/>
    </x:xf>
    <x:xf numFmtId="0" fontId="8" fillId="125" borderId="0" xfId="0" applyNumberFormat="1" applyFont="1" applyFill="1" applyBorder="1" applyAlignment="1">
      <x:alignment vertical="center"/>
    </x:xf>
    <x:xf numFmtId="0" fontId="1" fillId="126" borderId="0" xfId="0" applyNumberFormat="1" applyFont="1" applyFill="1" applyBorder="1" applyAlignment="1">
      <x:alignment vertical="center"/>
    </x:xf>
    <x:xf numFmtId="0" fontId="4" fillId="126" borderId="0" xfId="0" applyNumberFormat="1" applyFont="1" applyFill="1" applyBorder="1" applyAlignment="1">
      <x:alignment vertical="center"/>
    </x:xf>
    <x:xf numFmtId="0" fontId="1" fillId="127" borderId="0" xfId="0" applyNumberFormat="1" applyFont="1" applyFill="1" applyBorder="1" applyAlignment="1">
      <x:alignment vertical="center"/>
    </x:xf>
    <x:xf numFmtId="0" fontId="4" fillId="127" borderId="0" xfId="0" applyNumberFormat="1" applyFont="1" applyFill="1" applyBorder="1" applyAlignment="1">
      <x:alignment vertical="center"/>
    </x:xf>
    <x:xf numFmtId="0" fontId="1" fillId="128" borderId="0" xfId="0" applyNumberFormat="1" applyFont="1" applyFill="1" applyBorder="1" applyAlignment="1">
      <x:alignment vertical="center"/>
    </x:xf>
    <x:xf numFmtId="0" fontId="4" fillId="128" borderId="0" xfId="0" applyNumberFormat="1" applyFont="1" applyFill="1" applyBorder="1" applyAlignment="1">
      <x:alignment vertical="center"/>
    </x:xf>
    <x:xf numFmtId="0" fontId="1" fillId="129" borderId="0" xfId="0" applyNumberFormat="1" applyFont="1" applyFill="1" applyBorder="1" applyAlignment="1">
      <x:alignment vertical="center"/>
    </x:xf>
    <x:xf numFmtId="0" fontId="8" fillId="129" borderId="0" xfId="0" applyNumberFormat="1" applyFont="1" applyFill="1" applyBorder="1" applyAlignment="1">
      <x:alignment vertical="center"/>
    </x:xf>
    <x:xf numFmtId="0" fontId="1" fillId="130" borderId="0" xfId="0" applyNumberFormat="1" applyFont="1" applyFill="1" applyBorder="1" applyAlignment="1">
      <x:alignment vertical="center"/>
    </x:xf>
    <x:xf numFmtId="0" fontId="8" fillId="130" borderId="0" xfId="0" applyNumberFormat="1" applyFont="1" applyFill="1" applyBorder="1" applyAlignment="1">
      <x:alignment vertical="center"/>
    </x:xf>
    <x:xf numFmtId="0" fontId="1" fillId="131" borderId="0" xfId="0" applyNumberFormat="1" applyFont="1" applyFill="1" applyBorder="1" applyAlignment="1">
      <x:alignment vertical="center"/>
    </x:xf>
    <x:xf numFmtId="0" fontId="4" fillId="131" borderId="0" xfId="0" applyNumberFormat="1" applyFont="1" applyFill="1" applyBorder="1" applyAlignment="1">
      <x:alignment vertical="center"/>
    </x:xf>
    <x:xf numFmtId="0" fontId="1" fillId="132" borderId="0" xfId="0" applyNumberFormat="1" applyFont="1" applyFill="1" applyBorder="1" applyAlignment="1">
      <x:alignment vertical="center"/>
    </x:xf>
    <x:xf numFmtId="0" fontId="4" fillId="132" borderId="0" xfId="0" applyNumberFormat="1" applyFont="1" applyFill="1" applyBorder="1" applyAlignment="1">
      <x:alignment vertical="center"/>
    </x:xf>
    <x:xf numFmtId="0" fontId="1" fillId="133" borderId="0" xfId="0" applyNumberFormat="1" applyFont="1" applyFill="1" applyBorder="1" applyAlignment="1">
      <x:alignment vertical="center"/>
    </x:xf>
    <x:xf numFmtId="0" fontId="8" fillId="133" borderId="0" xfId="0" applyNumberFormat="1" applyFont="1" applyFill="1" applyBorder="1" applyAlignment="1">
      <x:alignment vertical="center"/>
    </x:xf>
    <x:xf numFmtId="0" fontId="1" fillId="134" borderId="0" xfId="0" applyNumberFormat="1" applyFont="1" applyFill="1" applyBorder="1" applyAlignment="1">
      <x:alignment vertical="center"/>
    </x:xf>
    <x:xf numFmtId="0" fontId="8" fillId="134" borderId="0" xfId="0" applyNumberFormat="1" applyFont="1" applyFill="1" applyBorder="1" applyAlignment="1">
      <x:alignment vertical="center"/>
    </x:xf>
    <x:xf numFmtId="0" fontId="1" fillId="135" borderId="0" xfId="0" applyNumberFormat="1" applyFont="1" applyFill="1" applyBorder="1" applyAlignment="1">
      <x:alignment vertical="center"/>
    </x:xf>
    <x:xf numFmtId="0" fontId="8" fillId="135" borderId="0" xfId="0" applyNumberFormat="1" applyFont="1" applyFill="1" applyBorder="1" applyAlignment="1">
      <x:alignment vertical="center"/>
    </x:xf>
    <x:xf numFmtId="0" fontId="1" fillId="136" borderId="0" xfId="0" applyNumberFormat="1" applyFont="1" applyFill="1" applyBorder="1" applyAlignment="1">
      <x:alignment vertical="center"/>
    </x:xf>
    <x:xf numFmtId="0" fontId="4" fillId="136" borderId="0" xfId="0" applyNumberFormat="1" applyFont="1" applyFill="1" applyBorder="1" applyAlignment="1">
      <x:alignment vertical="center"/>
    </x:xf>
    <x:xf numFmtId="0" fontId="1" fillId="137" borderId="0" xfId="0" applyNumberFormat="1" applyFont="1" applyFill="1" applyBorder="1" applyAlignment="1">
      <x:alignment vertical="center"/>
    </x:xf>
    <x:xf numFmtId="0" fontId="4" fillId="137" borderId="0" xfId="0" applyNumberFormat="1" applyFont="1" applyFill="1" applyBorder="1" applyAlignment="1">
      <x:alignment vertical="center"/>
    </x:xf>
    <x:xf numFmtId="0" fontId="1" fillId="138" borderId="0" xfId="0" applyNumberFormat="1" applyFont="1" applyFill="1" applyBorder="1" applyAlignment="1">
      <x:alignment vertical="center"/>
    </x:xf>
    <x:xf numFmtId="0" fontId="4" fillId="138" borderId="0" xfId="0" applyNumberFormat="1" applyFont="1" applyFill="1" applyBorder="1" applyAlignment="1">
      <x:alignment vertical="center"/>
    </x:xf>
    <x:xf numFmtId="0" fontId="1" fillId="139" borderId="0" xfId="0" applyNumberFormat="1" applyFont="1" applyFill="1" applyBorder="1" applyAlignment="1">
      <x:alignment vertical="center"/>
    </x:xf>
    <x:xf numFmtId="0" fontId="4" fillId="139" borderId="0" xfId="0" applyNumberFormat="1" applyFont="1" applyFill="1" applyBorder="1" applyAlignment="1">
      <x:alignment vertical="center"/>
    </x:xf>
    <x:xf numFmtId="0" fontId="1" fillId="140" borderId="0" xfId="0" applyNumberFormat="1" applyFont="1" applyFill="1" applyBorder="1" applyAlignment="1">
      <x:alignment vertical="center"/>
    </x:xf>
    <x:xf numFmtId="0" fontId="4" fillId="140" borderId="0" xfId="0" applyNumberFormat="1" applyFont="1" applyFill="1" applyBorder="1" applyAlignment="1">
      <x:alignment vertical="center"/>
    </x:xf>
    <x:xf numFmtId="0" fontId="1" fillId="141" borderId="0" xfId="0" applyNumberFormat="1" applyFont="1" applyFill="1" applyBorder="1" applyAlignment="1">
      <x:alignment vertical="center"/>
    </x:xf>
    <x:xf numFmtId="0" fontId="4" fillId="141" borderId="0" xfId="0" applyNumberFormat="1" applyFont="1" applyFill="1" applyBorder="1" applyAlignment="1">
      <x:alignment vertical="center"/>
    </x:xf>
    <x:xf numFmtId="0" fontId="1" fillId="142" borderId="0" xfId="0" applyNumberFormat="1" applyFont="1" applyFill="1" applyBorder="1" applyAlignment="1">
      <x:alignment vertical="center"/>
    </x:xf>
    <x:xf numFmtId="0" fontId="4" fillId="142" borderId="0" xfId="0" applyNumberFormat="1" applyFont="1" applyFill="1" applyBorder="1" applyAlignment="1">
      <x:alignment vertical="center"/>
    </x:xf>
    <x:xf numFmtId="0" fontId="1" fillId="143" borderId="0" xfId="0" applyNumberFormat="1" applyFont="1" applyFill="1" applyBorder="1" applyAlignment="1">
      <x:alignment vertical="center"/>
    </x:xf>
    <x:xf numFmtId="0" fontId="4" fillId="143" borderId="0" xfId="0" applyNumberFormat="1" applyFont="1" applyFill="1" applyBorder="1" applyAlignment="1">
      <x:alignment vertical="center"/>
    </x:xf>
    <x:xf numFmtId="0" fontId="1" fillId="144" borderId="0" xfId="0" applyNumberFormat="1" applyFont="1" applyFill="1" applyBorder="1" applyAlignment="1">
      <x:alignment vertical="center"/>
    </x:xf>
    <x:xf numFmtId="0" fontId="4" fillId="144" borderId="0" xfId="0" applyNumberFormat="1" applyFont="1" applyFill="1" applyBorder="1" applyAlignment="1">
      <x:alignment vertical="center"/>
    </x:xf>
    <x:xf numFmtId="0" fontId="1" fillId="145" borderId="0" xfId="0" applyNumberFormat="1" applyFont="1" applyFill="1" applyBorder="1" applyAlignment="1">
      <x:alignment vertical="center"/>
    </x:xf>
    <x:xf numFmtId="0" fontId="4" fillId="145" borderId="0" xfId="0" applyNumberFormat="1" applyFont="1" applyFill="1" applyBorder="1" applyAlignment="1">
      <x:alignment vertical="center"/>
    </x:xf>
    <x:xf numFmtId="0" fontId="1" fillId="146" borderId="0" xfId="0" applyNumberFormat="1" applyFont="1" applyFill="1" applyBorder="1" applyAlignment="1">
      <x:alignment vertical="center"/>
    </x:xf>
    <x:xf numFmtId="0" fontId="4" fillId="146" borderId="0" xfId="0" applyNumberFormat="1" applyFont="1" applyFill="1" applyBorder="1" applyAlignment="1">
      <x:alignment vertical="center"/>
    </x:xf>
    <x:xf numFmtId="0" fontId="1" fillId="147" borderId="0" xfId="0" applyNumberFormat="1" applyFont="1" applyFill="1" applyBorder="1" applyAlignment="1">
      <x:alignment vertical="center"/>
    </x:xf>
    <x:xf numFmtId="0" fontId="4" fillId="147" borderId="0" xfId="0" applyNumberFormat="1" applyFont="1" applyFill="1" applyBorder="1" applyAlignment="1">
      <x:alignment vertical="center"/>
    </x:xf>
    <x:xf numFmtId="0" fontId="1" fillId="148" borderId="0" xfId="0" applyNumberFormat="1" applyFont="1" applyFill="1" applyBorder="1" applyAlignment="1">
      <x:alignment vertical="center"/>
    </x:xf>
    <x:xf numFmtId="0" fontId="4" fillId="148" borderId="0" xfId="0" applyNumberFormat="1" applyFont="1" applyFill="1" applyBorder="1" applyAlignment="1">
      <x:alignment vertical="center"/>
    </x:xf>
    <x:xf numFmtId="0" fontId="1" fillId="149" borderId="0" xfId="0" applyNumberFormat="1" applyFont="1" applyFill="1" applyBorder="1" applyAlignment="1">
      <x:alignment vertical="center"/>
    </x:xf>
    <x:xf numFmtId="0" fontId="8" fillId="149" borderId="0" xfId="0" applyNumberFormat="1" applyFont="1" applyFill="1" applyBorder="1" applyAlignment="1">
      <x:alignment vertical="center"/>
    </x:xf>
    <x:xf numFmtId="0" fontId="1" fillId="150" borderId="0" xfId="0" applyNumberFormat="1" applyFont="1" applyFill="1" applyBorder="1" applyAlignment="1">
      <x:alignment vertical="center"/>
    </x:xf>
    <x:xf numFmtId="0" fontId="8" fillId="150" borderId="0" xfId="0" applyNumberFormat="1" applyFont="1" applyFill="1" applyBorder="1" applyAlignment="1">
      <x:alignment vertical="center"/>
    </x:xf>
    <x:xf numFmtId="0" fontId="1" fillId="151" borderId="0" xfId="0" applyNumberFormat="1" applyFont="1" applyFill="1" applyBorder="1" applyAlignment="1">
      <x:alignment vertical="center"/>
    </x:xf>
    <x:xf numFmtId="0" fontId="8" fillId="151" borderId="0" xfId="0" applyNumberFormat="1" applyFont="1" applyFill="1" applyBorder="1" applyAlignment="1">
      <x:alignment vertical="center"/>
    </x:xf>
    <x:xf numFmtId="0" fontId="1" fillId="152" borderId="0" xfId="0" applyNumberFormat="1" applyFont="1" applyFill="1" applyBorder="1" applyAlignment="1">
      <x:alignment vertical="center"/>
    </x:xf>
    <x:xf numFmtId="0" fontId="8" fillId="152" borderId="0" xfId="0" applyNumberFormat="1" applyFont="1" applyFill="1" applyBorder="1" applyAlignment="1">
      <x:alignment vertical="center"/>
    </x:xf>
    <x:xf numFmtId="0" fontId="1" fillId="153" borderId="0" xfId="0" applyNumberFormat="1" applyFont="1" applyFill="1" applyBorder="1" applyAlignment="1">
      <x:alignment vertical="center"/>
    </x:xf>
    <x:xf numFmtId="0" fontId="4" fillId="153" borderId="0" xfId="0" applyNumberFormat="1" applyFont="1" applyFill="1" applyBorder="1" applyAlignment="1">
      <x:alignment vertical="center"/>
    </x:xf>
    <x:xf numFmtId="0" fontId="1" fillId="154" borderId="0" xfId="0" applyNumberFormat="1" applyFont="1" applyFill="1" applyBorder="1" applyAlignment="1">
      <x:alignment vertical="center"/>
    </x:xf>
    <x:xf numFmtId="0" fontId="4" fillId="154" borderId="0" xfId="0" applyNumberFormat="1" applyFont="1" applyFill="1" applyBorder="1" applyAlignment="1">
      <x:alignment vertical="center"/>
    </x:xf>
    <x:xf numFmtId="0" fontId="1" fillId="155" borderId="0" xfId="0" applyNumberFormat="1" applyFont="1" applyFill="1" applyBorder="1" applyAlignment="1">
      <x:alignment vertical="center"/>
    </x:xf>
    <x:xf numFmtId="0" fontId="4" fillId="155" borderId="0" xfId="0" applyNumberFormat="1" applyFont="1" applyFill="1" applyBorder="1" applyAlignment="1">
      <x:alignment vertical="center"/>
    </x:xf>
    <x:xf numFmtId="0" fontId="1" fillId="156" borderId="0" xfId="0" applyNumberFormat="1" applyFont="1" applyFill="1" applyBorder="1" applyAlignment="1">
      <x:alignment vertical="center"/>
    </x:xf>
    <x:xf numFmtId="0" fontId="4" fillId="156" borderId="0" xfId="0" applyNumberFormat="1" applyFont="1" applyFill="1" applyBorder="1" applyAlignment="1">
      <x:alignment vertical="center"/>
    </x:xf>
    <x:xf numFmtId="0" fontId="1" fillId="157" borderId="0" xfId="0" applyNumberFormat="1" applyFont="1" applyFill="1" applyBorder="1" applyAlignment="1">
      <x:alignment vertical="center"/>
    </x:xf>
    <x:xf numFmtId="0" fontId="4" fillId="157" borderId="0" xfId="0" applyNumberFormat="1" applyFont="1" applyFill="1" applyBorder="1" applyAlignment="1">
      <x:alignment vertical="center"/>
    </x:xf>
    <x:xf numFmtId="0" fontId="1" fillId="158" borderId="0" xfId="0" applyNumberFormat="1" applyFont="1" applyFill="1" applyBorder="1" applyAlignment="1">
      <x:alignment vertical="center"/>
    </x:xf>
    <x:xf numFmtId="0" fontId="4" fillId="158" borderId="0" xfId="0" applyNumberFormat="1" applyFont="1" applyFill="1" applyBorder="1" applyAlignment="1">
      <x:alignment vertical="center"/>
    </x:xf>
    <x:xf numFmtId="0" fontId="1" fillId="159" borderId="0" xfId="0" applyNumberFormat="1" applyFont="1" applyFill="1" applyBorder="1" applyAlignment="1">
      <x:alignment vertical="center"/>
    </x:xf>
    <x:xf numFmtId="0" fontId="4" fillId="159" borderId="0" xfId="0" applyNumberFormat="1" applyFont="1" applyFill="1" applyBorder="1" applyAlignment="1">
      <x:alignment vertical="center"/>
    </x:xf>
    <x:xf numFmtId="0" fontId="1" fillId="160" borderId="0" xfId="0" applyNumberFormat="1" applyFont="1" applyFill="1" applyBorder="1" applyAlignment="1">
      <x:alignment vertical="center"/>
    </x:xf>
    <x:xf numFmtId="0" fontId="4" fillId="160" borderId="0" xfId="0" applyNumberFormat="1" applyFont="1" applyFill="1" applyBorder="1" applyAlignment="1">
      <x:alignment vertical="center"/>
    </x:xf>
    <x:xf numFmtId="0" fontId="1" fillId="161" borderId="0" xfId="0" applyNumberFormat="1" applyFont="1" applyFill="1" applyBorder="1" applyAlignment="1">
      <x:alignment vertical="center"/>
    </x:xf>
    <x:xf numFmtId="0" fontId="4" fillId="161" borderId="0" xfId="0" applyNumberFormat="1" applyFont="1" applyFill="1" applyBorder="1" applyAlignment="1">
      <x:alignment vertical="center"/>
    </x:xf>
    <x:xf numFmtId="0" fontId="1" fillId="162" borderId="0" xfId="0" applyNumberFormat="1" applyFont="1" applyFill="1" applyBorder="1" applyAlignment="1">
      <x:alignment vertical="center"/>
    </x:xf>
    <x:xf numFmtId="0" fontId="4" fillId="162" borderId="0" xfId="0" applyNumberFormat="1" applyFont="1" applyFill="1" applyBorder="1" applyAlignment="1">
      <x:alignment vertical="center"/>
    </x:xf>
    <x:xf numFmtId="0" fontId="1" fillId="163" borderId="0" xfId="0" applyNumberFormat="1" applyFont="1" applyFill="1" applyBorder="1" applyAlignment="1">
      <x:alignment vertical="center"/>
    </x:xf>
    <x:xf numFmtId="0" fontId="4" fillId="163" borderId="0" xfId="0" applyNumberFormat="1" applyFont="1" applyFill="1" applyBorder="1" applyAlignment="1">
      <x:alignment vertical="center"/>
    </x:xf>
    <x:xf numFmtId="0" fontId="1" fillId="164" borderId="0" xfId="0" applyNumberFormat="1" applyFont="1" applyFill="1" applyBorder="1" applyAlignment="1">
      <x:alignment vertical="center"/>
    </x:xf>
    <x:xf numFmtId="0" fontId="4" fillId="164" borderId="0" xfId="0" applyNumberFormat="1" applyFont="1" applyFill="1" applyBorder="1" applyAlignment="1">
      <x:alignment vertical="center"/>
    </x:xf>
    <x:xf numFmtId="0" fontId="1" fillId="165" borderId="0" xfId="0" applyNumberFormat="1" applyFont="1" applyFill="1" applyBorder="1" applyAlignment="1">
      <x:alignment vertical="center"/>
    </x:xf>
    <x:xf numFmtId="0" fontId="4" fillId="165" borderId="0" xfId="0" applyNumberFormat="1" applyFont="1" applyFill="1" applyBorder="1" applyAlignment="1">
      <x:alignment vertical="center"/>
    </x:xf>
    <x:xf numFmtId="0" fontId="1" fillId="166" borderId="0" xfId="0" applyNumberFormat="1" applyFont="1" applyFill="1" applyBorder="1" applyAlignment="1">
      <x:alignment vertical="center"/>
    </x:xf>
    <x:xf numFmtId="0" fontId="4" fillId="166" borderId="0" xfId="0" applyNumberFormat="1" applyFont="1" applyFill="1" applyBorder="1" applyAlignment="1">
      <x:alignment vertical="center"/>
    </x:xf>
    <x:xf numFmtId="0" fontId="1" fillId="167" borderId="0" xfId="0" applyNumberFormat="1" applyFont="1" applyFill="1" applyBorder="1" applyAlignment="1">
      <x:alignment vertical="center"/>
    </x:xf>
    <x:xf numFmtId="0" fontId="4" fillId="167" borderId="0" xfId="0" applyNumberFormat="1" applyFont="1" applyFill="1" applyBorder="1" applyAlignment="1">
      <x:alignment vertical="center"/>
    </x:xf>
    <x:xf numFmtId="0" fontId="1" fillId="168" borderId="0" xfId="0" applyNumberFormat="1" applyFont="1" applyFill="1" applyBorder="1" applyAlignment="1">
      <x:alignment vertical="center"/>
    </x:xf>
    <x:xf numFmtId="0" fontId="4" fillId="168" borderId="0" xfId="0" applyNumberFormat="1" applyFont="1" applyFill="1" applyBorder="1" applyAlignment="1">
      <x:alignment vertical="center"/>
    </x:xf>
    <x:xf numFmtId="0" fontId="1" fillId="169" borderId="0" xfId="0" applyNumberFormat="1" applyFont="1" applyFill="1" applyBorder="1" applyAlignment="1">
      <x:alignment vertical="center"/>
    </x:xf>
    <x:xf numFmtId="0" fontId="4" fillId="169" borderId="0" xfId="0" applyNumberFormat="1" applyFont="1" applyFill="1" applyBorder="1" applyAlignment="1">
      <x:alignment vertical="center"/>
    </x:xf>
    <x:xf numFmtId="0" fontId="1" fillId="170" borderId="0" xfId="0" applyNumberFormat="1" applyFont="1" applyFill="1" applyBorder="1" applyAlignment="1">
      <x:alignment vertical="center"/>
    </x:xf>
    <x:xf numFmtId="0" fontId="4" fillId="170" borderId="0" xfId="0" applyNumberFormat="1" applyFont="1" applyFill="1" applyBorder="1" applyAlignment="1">
      <x:alignment vertical="center"/>
    </x:xf>
    <x:xf numFmtId="0" fontId="1" fillId="171" borderId="0" xfId="0" applyNumberFormat="1" applyFont="1" applyFill="1" applyBorder="1" applyAlignment="1">
      <x:alignment vertical="center"/>
    </x:xf>
    <x:xf numFmtId="0" fontId="8" fillId="171" borderId="0" xfId="0" applyNumberFormat="1" applyFont="1" applyFill="1" applyBorder="1" applyAlignment="1">
      <x:alignment vertical="center"/>
    </x:xf>
    <x:xf numFmtId="0" fontId="1" fillId="172" borderId="0" xfId="0" applyNumberFormat="1" applyFont="1" applyFill="1" applyBorder="1" applyAlignment="1">
      <x:alignment vertical="center"/>
    </x:xf>
    <x:xf numFmtId="0" fontId="4" fillId="172" borderId="0" xfId="0" applyNumberFormat="1" applyFont="1" applyFill="1" applyBorder="1" applyAlignment="1">
      <x:alignment vertical="center"/>
    </x:xf>
    <x:xf numFmtId="0" fontId="1" fillId="173" borderId="0" xfId="0" applyNumberFormat="1" applyFont="1" applyFill="1" applyBorder="1" applyAlignment="1">
      <x:alignment vertical="center"/>
    </x:xf>
    <x:xf numFmtId="0" fontId="4" fillId="173" borderId="0" xfId="0" applyNumberFormat="1" applyFont="1" applyFill="1" applyBorder="1" applyAlignment="1">
      <x:alignment vertical="center"/>
    </x:xf>
    <x:xf numFmtId="0" fontId="1" fillId="174" borderId="0" xfId="0" applyNumberFormat="1" applyFont="1" applyFill="1" applyBorder="1" applyAlignment="1">
      <x:alignment vertical="center"/>
    </x:xf>
    <x:xf numFmtId="0" fontId="4" fillId="174" borderId="0" xfId="0" applyNumberFormat="1" applyFont="1" applyFill="1" applyBorder="1" applyAlignment="1">
      <x:alignment vertical="center"/>
    </x:xf>
    <x:xf numFmtId="0" fontId="1" fillId="175" borderId="0" xfId="0" applyNumberFormat="1" applyFont="1" applyFill="1" applyBorder="1" applyAlignment="1">
      <x:alignment vertical="center"/>
    </x:xf>
    <x:xf numFmtId="0" fontId="4" fillId="175" borderId="0" xfId="0" applyNumberFormat="1" applyFont="1" applyFill="1" applyBorder="1" applyAlignment="1">
      <x:alignment vertical="center"/>
    </x:xf>
    <x:xf numFmtId="0" fontId="1" fillId="176" borderId="0" xfId="0" applyNumberFormat="1" applyFont="1" applyFill="1" applyBorder="1" applyAlignment="1">
      <x:alignment vertical="center"/>
    </x:xf>
    <x:xf numFmtId="0" fontId="4" fillId="176" borderId="0" xfId="0" applyNumberFormat="1" applyFont="1" applyFill="1" applyBorder="1" applyAlignment="1">
      <x:alignment vertical="center"/>
    </x:xf>
    <x:xf numFmtId="0" fontId="1" fillId="177" borderId="0" xfId="0" applyNumberFormat="1" applyFont="1" applyFill="1" applyBorder="1" applyAlignment="1">
      <x:alignment vertical="center"/>
    </x:xf>
    <x:xf numFmtId="0" fontId="4" fillId="177" borderId="0" xfId="0" applyNumberFormat="1" applyFont="1" applyFill="1" applyBorder="1" applyAlignment="1">
      <x:alignment vertical="center"/>
    </x:xf>
    <x:xf numFmtId="0" fontId="1" fillId="178" borderId="0" xfId="0" applyNumberFormat="1" applyFont="1" applyFill="1" applyBorder="1" applyAlignment="1">
      <x:alignment vertical="center"/>
    </x:xf>
    <x:xf numFmtId="0" fontId="4" fillId="178" borderId="0" xfId="0" applyNumberFormat="1" applyFont="1" applyFill="1" applyBorder="1" applyAlignment="1">
      <x:alignment vertical="center"/>
    </x:xf>
    <x:xf numFmtId="0" fontId="1" fillId="179" borderId="0" xfId="0" applyNumberFormat="1" applyFont="1" applyFill="1" applyBorder="1" applyAlignment="1">
      <x:alignment vertical="center"/>
    </x:xf>
    <x:xf numFmtId="0" fontId="4" fillId="179" borderId="0" xfId="0" applyNumberFormat="1" applyFont="1" applyFill="1" applyBorder="1" applyAlignment="1">
      <x:alignment vertical="center"/>
    </x:xf>
    <x:xf numFmtId="0" fontId="1" fillId="180" borderId="0" xfId="0" applyNumberFormat="1" applyFont="1" applyFill="1" applyBorder="1" applyAlignment="1">
      <x:alignment vertical="center"/>
    </x:xf>
    <x:xf numFmtId="0" fontId="4" fillId="180" borderId="0" xfId="0" applyNumberFormat="1" applyFont="1" applyFill="1" applyBorder="1" applyAlignment="1">
      <x:alignment vertical="center"/>
    </x:xf>
    <x:xf numFmtId="0" fontId="1" fillId="181" borderId="0" xfId="0" applyNumberFormat="1" applyFont="1" applyFill="1" applyBorder="1" applyAlignment="1">
      <x:alignment vertical="center"/>
    </x:xf>
    <x:xf numFmtId="0" fontId="4" fillId="181" borderId="0" xfId="0" applyNumberFormat="1" applyFont="1" applyFill="1" applyBorder="1" applyAlignment="1">
      <x:alignment vertical="center"/>
    </x:xf>
    <x:xf numFmtId="0" fontId="1" fillId="182" borderId="0" xfId="0" applyNumberFormat="1" applyFont="1" applyFill="1" applyBorder="1" applyAlignment="1">
      <x:alignment vertical="center"/>
    </x:xf>
    <x:xf numFmtId="0" fontId="8" fillId="182" borderId="0" xfId="0" applyNumberFormat="1" applyFont="1" applyFill="1" applyBorder="1" applyAlignment="1">
      <x:alignment vertical="center"/>
    </x:xf>
    <x:xf numFmtId="0" fontId="1" fillId="183" borderId="0" xfId="0" applyNumberFormat="1" applyFont="1" applyFill="1" applyBorder="1" applyAlignment="1">
      <x:alignment vertical="center"/>
    </x:xf>
    <x:xf numFmtId="0" fontId="8" fillId="183" borderId="0" xfId="0" applyNumberFormat="1" applyFont="1" applyFill="1" applyBorder="1" applyAlignment="1">
      <x:alignment vertical="center"/>
    </x:xf>
    <x:xf numFmtId="0" fontId="1" fillId="184" borderId="0" xfId="0" applyNumberFormat="1" applyFont="1" applyFill="1" applyBorder="1" applyAlignment="1">
      <x:alignment vertical="center"/>
    </x:xf>
    <x:xf numFmtId="0" fontId="8" fillId="184" borderId="0" xfId="0" applyNumberFormat="1" applyFont="1" applyFill="1" applyBorder="1" applyAlignment="1">
      <x:alignment vertical="center"/>
    </x:xf>
    <x:xf numFmtId="0" fontId="1" fillId="185" borderId="0" xfId="0" applyNumberFormat="1" applyFont="1" applyFill="1" applyBorder="1" applyAlignment="1">
      <x:alignment vertical="center"/>
    </x:xf>
    <x:xf numFmtId="0" fontId="8" fillId="185" borderId="0" xfId="0" applyNumberFormat="1" applyFont="1" applyFill="1" applyBorder="1" applyAlignment="1">
      <x:alignment vertical="center"/>
    </x:xf>
    <x:xf numFmtId="0" fontId="1" fillId="186" borderId="0" xfId="0" applyNumberFormat="1" applyFont="1" applyFill="1" applyBorder="1" applyAlignment="1">
      <x:alignment vertical="center"/>
    </x:xf>
    <x:xf numFmtId="0" fontId="8" fillId="186" borderId="0" xfId="0" applyNumberFormat="1" applyFont="1" applyFill="1" applyBorder="1" applyAlignment="1">
      <x:alignment vertical="center"/>
    </x:xf>
    <x:xf numFmtId="0" fontId="1" fillId="187" borderId="0" xfId="0" applyNumberFormat="1" applyFont="1" applyFill="1" applyBorder="1" applyAlignment="1">
      <x:alignment vertical="center"/>
    </x:xf>
    <x:xf numFmtId="0" fontId="8" fillId="187" borderId="0" xfId="0" applyNumberFormat="1" applyFont="1" applyFill="1" applyBorder="1" applyAlignment="1">
      <x:alignment vertical="center"/>
    </x:xf>
    <x:xf numFmtId="0" fontId="1" fillId="188" borderId="0" xfId="0" applyNumberFormat="1" applyFont="1" applyFill="1" applyBorder="1" applyAlignment="1">
      <x:alignment vertical="center"/>
    </x:xf>
    <x:xf numFmtId="0" fontId="8" fillId="188" borderId="0" xfId="0" applyNumberFormat="1" applyFont="1" applyFill="1" applyBorder="1" applyAlignment="1">
      <x:alignment vertical="center"/>
    </x:xf>
    <x:xf numFmtId="0" fontId="1" fillId="189" borderId="0" xfId="0" applyNumberFormat="1" applyFont="1" applyFill="1" applyBorder="1" applyAlignment="1">
      <x:alignment vertical="center"/>
    </x:xf>
    <x:xf numFmtId="0" fontId="8" fillId="189" borderId="0" xfId="0" applyNumberFormat="1" applyFont="1" applyFill="1" applyBorder="1" applyAlignment="1">
      <x:alignment vertical="center"/>
    </x:xf>
    <x:xf numFmtId="0" fontId="1" fillId="190" borderId="0" xfId="0" applyNumberFormat="1" applyFont="1" applyFill="1" applyBorder="1" applyAlignment="1">
      <x:alignment vertical="center"/>
    </x:xf>
    <x:xf numFmtId="0" fontId="8" fillId="190" borderId="0" xfId="0" applyNumberFormat="1" applyFont="1" applyFill="1" applyBorder="1" applyAlignment="1">
      <x:alignment vertical="center"/>
    </x:xf>
    <x:xf numFmtId="0" fontId="1" fillId="191" borderId="0" xfId="0" applyNumberFormat="1" applyFont="1" applyFill="1" applyBorder="1" applyAlignment="1">
      <x:alignment vertical="center"/>
    </x:xf>
    <x:xf numFmtId="0" fontId="8" fillId="191" borderId="0" xfId="0" applyNumberFormat="1" applyFont="1" applyFill="1" applyBorder="1" applyAlignment="1">
      <x:alignment vertical="center"/>
    </x:xf>
    <x:xf numFmtId="0" fontId="1" fillId="192" borderId="0" xfId="0" applyNumberFormat="1" applyFont="1" applyFill="1" applyBorder="1" applyAlignment="1">
      <x:alignment vertical="center"/>
    </x:xf>
    <x:xf numFmtId="0" fontId="8" fillId="192" borderId="0" xfId="0" applyNumberFormat="1" applyFont="1" applyFill="1" applyBorder="1" applyAlignment="1">
      <x:alignment vertical="center"/>
    </x:xf>
    <x:xf numFmtId="0" fontId="1" fillId="193" borderId="0" xfId="0" applyNumberFormat="1" applyFont="1" applyFill="1" applyBorder="1" applyAlignment="1">
      <x:alignment vertical="center"/>
    </x:xf>
    <x:xf numFmtId="0" fontId="8" fillId="193" borderId="0" xfId="0" applyNumberFormat="1" applyFont="1" applyFill="1" applyBorder="1" applyAlignment="1">
      <x:alignment vertical="center"/>
    </x:xf>
    <x:xf numFmtId="0" fontId="1" fillId="194" borderId="0" xfId="0" applyNumberFormat="1" applyFont="1" applyFill="1" applyBorder="1" applyAlignment="1">
      <x:alignment vertical="center"/>
    </x:xf>
    <x:xf numFmtId="0" fontId="8" fillId="194" borderId="0" xfId="0" applyNumberFormat="1" applyFont="1" applyFill="1" applyBorder="1" applyAlignment="1">
      <x:alignment vertical="center"/>
    </x:xf>
    <x:xf numFmtId="0" fontId="1" fillId="195" borderId="0" xfId="0" applyNumberFormat="1" applyFont="1" applyFill="1" applyBorder="1" applyAlignment="1">
      <x:alignment vertical="center"/>
    </x:xf>
    <x:xf numFmtId="0" fontId="8" fillId="195" borderId="0" xfId="0" applyNumberFormat="1" applyFont="1" applyFill="1" applyBorder="1" applyAlignment="1">
      <x:alignment vertical="center"/>
    </x:xf>
    <x:xf numFmtId="0" fontId="1" fillId="196" borderId="0" xfId="0" applyNumberFormat="1" applyFont="1" applyFill="1" applyBorder="1" applyAlignment="1">
      <x:alignment vertical="center"/>
    </x:xf>
    <x:xf numFmtId="0" fontId="8" fillId="196" borderId="0" xfId="0" applyNumberFormat="1" applyFont="1" applyFill="1" applyBorder="1" applyAlignment="1">
      <x:alignment vertical="center"/>
    </x:xf>
    <x:xf numFmtId="0" fontId="1" fillId="197" borderId="0" xfId="0" applyNumberFormat="1" applyFont="1" applyFill="1" applyBorder="1" applyAlignment="1">
      <x:alignment vertical="center"/>
    </x:xf>
    <x:xf numFmtId="0" fontId="8" fillId="197" borderId="0" xfId="0" applyNumberFormat="1" applyFont="1" applyFill="1" applyBorder="1" applyAlignment="1">
      <x:alignment vertical="center"/>
    </x:xf>
    <x:xf numFmtId="0" fontId="1" fillId="198" borderId="0" xfId="0" applyNumberFormat="1" applyFont="1" applyFill="1" applyBorder="1" applyAlignment="1">
      <x:alignment vertical="center"/>
    </x:xf>
    <x:xf numFmtId="0" fontId="8" fillId="198" borderId="0" xfId="0" applyNumberFormat="1" applyFont="1" applyFill="1" applyBorder="1" applyAlignment="1">
      <x:alignment vertical="center"/>
    </x:xf>
    <x:xf numFmtId="0" fontId="1" fillId="199" borderId="0" xfId="0" applyNumberFormat="1" applyFont="1" applyFill="1" applyBorder="1" applyAlignment="1">
      <x:alignment vertical="center"/>
    </x:xf>
    <x:xf numFmtId="0" fontId="8" fillId="199" borderId="0" xfId="0" applyNumberFormat="1" applyFont="1" applyFill="1" applyBorder="1" applyAlignment="1">
      <x:alignment vertical="center"/>
    </x:xf>
    <x:xf numFmtId="0" fontId="1" fillId="200" borderId="0" xfId="0" applyNumberFormat="1" applyFont="1" applyFill="1" applyBorder="1" applyAlignment="1">
      <x:alignment vertical="center"/>
    </x:xf>
    <x:xf numFmtId="0" fontId="8" fillId="200" borderId="0" xfId="0" applyNumberFormat="1" applyFont="1" applyFill="1" applyBorder="1" applyAlignment="1">
      <x:alignment vertical="center"/>
    </x:xf>
    <x:xf numFmtId="0" fontId="1" fillId="201" borderId="0" xfId="0" applyNumberFormat="1" applyFont="1" applyFill="1" applyBorder="1" applyAlignment="1">
      <x:alignment vertical="center"/>
    </x:xf>
    <x:xf numFmtId="0" fontId="8" fillId="201" borderId="0" xfId="0" applyNumberFormat="1" applyFont="1" applyFill="1" applyBorder="1" applyAlignment="1">
      <x:alignment vertical="center"/>
    </x:xf>
    <x:xf numFmtId="0" fontId="1" fillId="202" borderId="0" xfId="0" applyNumberFormat="1" applyFont="1" applyFill="1" applyBorder="1" applyAlignment="1">
      <x:alignment vertical="center"/>
    </x:xf>
    <x:xf numFmtId="0" fontId="8" fillId="202" borderId="0" xfId="0" applyNumberFormat="1" applyFont="1" applyFill="1" applyBorder="1" applyAlignment="1">
      <x:alignment vertical="center"/>
    </x:xf>
    <x:xf numFmtId="0" fontId="1" fillId="203" borderId="0" xfId="0" applyNumberFormat="1" applyFont="1" applyFill="1" applyBorder="1" applyAlignment="1">
      <x:alignment vertical="center"/>
    </x:xf>
    <x:xf numFmtId="0" fontId="8" fillId="203" borderId="0" xfId="0" applyNumberFormat="1" applyFont="1" applyFill="1" applyBorder="1" applyAlignment="1">
      <x:alignment vertical="center"/>
    </x:xf>
    <x:xf numFmtId="0" fontId="1" fillId="204" borderId="0" xfId="0" applyNumberFormat="1" applyFont="1" applyFill="1" applyBorder="1" applyAlignment="1">
      <x:alignment vertical="center"/>
    </x:xf>
    <x:xf numFmtId="0" fontId="8" fillId="204" borderId="0" xfId="0" applyNumberFormat="1" applyFont="1" applyFill="1" applyBorder="1" applyAlignment="1">
      <x:alignment vertical="center"/>
    </x:xf>
    <x:xf numFmtId="0" fontId="1" fillId="205" borderId="0" xfId="0" applyNumberFormat="1" applyFont="1" applyFill="1" applyBorder="1" applyAlignment="1">
      <x:alignment vertical="center"/>
    </x:xf>
    <x:xf numFmtId="0" fontId="8" fillId="205" borderId="0" xfId="0" applyNumberFormat="1" applyFont="1" applyFill="1" applyBorder="1" applyAlignment="1">
      <x:alignment vertical="center"/>
    </x:xf>
    <x:xf numFmtId="0" fontId="1" fillId="206" borderId="0" xfId="0" applyNumberFormat="1" applyFont="1" applyFill="1" applyBorder="1" applyAlignment="1">
      <x:alignment vertical="center"/>
    </x:xf>
    <x:xf numFmtId="0" fontId="8" fillId="206" borderId="0" xfId="0" applyNumberFormat="1" applyFont="1" applyFill="1" applyBorder="1" applyAlignment="1">
      <x:alignment vertical="center"/>
    </x:xf>
    <x:xf numFmtId="0" fontId="1" fillId="207" borderId="0" xfId="0" applyNumberFormat="1" applyFont="1" applyFill="1" applyBorder="1" applyAlignment="1">
      <x:alignment vertical="center"/>
    </x:xf>
    <x:xf numFmtId="0" fontId="8" fillId="207" borderId="0" xfId="0" applyNumberFormat="1" applyFont="1" applyFill="1" applyBorder="1" applyAlignment="1">
      <x:alignment vertical="center"/>
    </x:xf>
    <x:xf numFmtId="0" fontId="1" fillId="208" borderId="0" xfId="0" applyNumberFormat="1" applyFont="1" applyFill="1" applyBorder="1" applyAlignment="1">
      <x:alignment vertical="center"/>
    </x:xf>
    <x:xf numFmtId="0" fontId="8" fillId="208" borderId="0" xfId="0" applyNumberFormat="1" applyFont="1" applyFill="1" applyBorder="1" applyAlignment="1">
      <x:alignment vertical="center"/>
    </x:xf>
    <x:xf numFmtId="0" fontId="1" fillId="209" borderId="0" xfId="0" applyNumberFormat="1" applyFont="1" applyFill="1" applyBorder="1" applyAlignment="1">
      <x:alignment vertical="center"/>
    </x:xf>
    <x:xf numFmtId="0" fontId="8" fillId="209" borderId="0" xfId="0" applyNumberFormat="1" applyFont="1" applyFill="1" applyBorder="1" applyAlignment="1">
      <x:alignment vertical="center"/>
    </x:xf>
    <x:xf numFmtId="0" fontId="1" fillId="210" borderId="0" xfId="0" applyNumberFormat="1" applyFont="1" applyFill="1" applyBorder="1" applyAlignment="1">
      <x:alignment vertical="center"/>
    </x:xf>
    <x:xf numFmtId="0" fontId="8" fillId="210" borderId="0" xfId="0" applyNumberFormat="1" applyFont="1" applyFill="1" applyBorder="1" applyAlignment="1">
      <x:alignment vertical="center"/>
    </x:xf>
    <x:xf numFmtId="0" fontId="1" fillId="211" borderId="0" xfId="0" applyNumberFormat="1" applyFont="1" applyFill="1" applyBorder="1" applyAlignment="1">
      <x:alignment vertical="center"/>
    </x:xf>
    <x:xf numFmtId="0" fontId="8" fillId="211" borderId="0" xfId="0" applyNumberFormat="1" applyFont="1" applyFill="1" applyBorder="1" applyAlignment="1">
      <x:alignment vertical="center"/>
    </x:xf>
    <x:xf numFmtId="0" fontId="1" fillId="212" borderId="0" xfId="0" applyNumberFormat="1" applyFont="1" applyFill="1" applyBorder="1" applyAlignment="1">
      <x:alignment vertical="center"/>
    </x:xf>
    <x:xf numFmtId="0" fontId="4" fillId="212" borderId="0" xfId="0" applyNumberFormat="1" applyFont="1" applyFill="1" applyBorder="1" applyAlignment="1">
      <x:alignment vertical="center"/>
    </x:xf>
    <x:xf numFmtId="0" fontId="1" fillId="213" borderId="0" xfId="0" applyNumberFormat="1" applyFont="1" applyFill="1" applyBorder="1" applyAlignment="1">
      <x:alignment vertical="center"/>
    </x:xf>
    <x:xf numFmtId="0" fontId="4" fillId="213" borderId="0" xfId="0" applyNumberFormat="1" applyFont="1" applyFill="1" applyBorder="1" applyAlignment="1">
      <x:alignment vertical="center"/>
    </x:xf>
    <x:xf numFmtId="0" fontId="1" fillId="214" borderId="0" xfId="0" applyNumberFormat="1" applyFont="1" applyFill="1" applyBorder="1" applyAlignment="1">
      <x:alignment vertical="center"/>
    </x:xf>
    <x:xf numFmtId="0" fontId="4" fillId="214" borderId="0" xfId="0" applyNumberFormat="1" applyFont="1" applyFill="1" applyBorder="1" applyAlignment="1">
      <x:alignment vertical="center"/>
    </x:xf>
    <x:xf numFmtId="0" fontId="1" fillId="215" borderId="0" xfId="0" applyNumberFormat="1" applyFont="1" applyFill="1" applyBorder="1" applyAlignment="1">
      <x:alignment vertical="center"/>
    </x:xf>
    <x:xf numFmtId="0" fontId="4" fillId="215" borderId="0" xfId="0" applyNumberFormat="1" applyFont="1" applyFill="1" applyBorder="1" applyAlignment="1">
      <x:alignment vertical="center"/>
    </x:xf>
    <x:xf numFmtId="0" fontId="1" fillId="216" borderId="0" xfId="0" applyNumberFormat="1" applyFont="1" applyFill="1" applyBorder="1" applyAlignment="1">
      <x:alignment vertical="center"/>
    </x:xf>
    <x:xf numFmtId="0" fontId="4" fillId="216" borderId="0" xfId="0" applyNumberFormat="1" applyFont="1" applyFill="1" applyBorder="1" applyAlignment="1">
      <x:alignment vertical="center"/>
    </x:xf>
    <x:xf numFmtId="0" fontId="1" fillId="217" borderId="0" xfId="0" applyNumberFormat="1" applyFont="1" applyFill="1" applyBorder="1" applyAlignment="1">
      <x:alignment vertical="center"/>
    </x:xf>
    <x:xf numFmtId="0" fontId="4" fillId="217" borderId="0" xfId="0" applyNumberFormat="1" applyFont="1" applyFill="1" applyBorder="1" applyAlignment="1">
      <x:alignment vertical="center"/>
    </x:xf>
    <x:xf numFmtId="0" fontId="1" fillId="218" borderId="0" xfId="0" applyNumberFormat="1" applyFont="1" applyFill="1" applyBorder="1" applyAlignment="1">
      <x:alignment vertical="center"/>
    </x:xf>
    <x:xf numFmtId="0" fontId="4" fillId="218" borderId="0" xfId="0" applyNumberFormat="1" applyFont="1" applyFill="1" applyBorder="1" applyAlignment="1">
      <x:alignment vertical="center"/>
    </x:xf>
    <x:xf numFmtId="0" fontId="1" fillId="219" borderId="0" xfId="0" applyNumberFormat="1" applyFont="1" applyFill="1" applyBorder="1" applyAlignment="1">
      <x:alignment vertical="center"/>
    </x:xf>
    <x:xf numFmtId="0" fontId="4" fillId="219" borderId="0" xfId="0" applyNumberFormat="1" applyFont="1" applyFill="1" applyBorder="1" applyAlignment="1">
      <x:alignment vertical="center"/>
    </x:xf>
    <x:xf numFmtId="0" fontId="1" fillId="220" borderId="0" xfId="0" applyNumberFormat="1" applyFont="1" applyFill="1" applyBorder="1" applyAlignment="1">
      <x:alignment vertical="center"/>
    </x:xf>
    <x:xf numFmtId="0" fontId="8" fillId="220" borderId="0" xfId="0" applyNumberFormat="1" applyFont="1" applyFill="1" applyBorder="1" applyAlignment="1">
      <x:alignment vertical="center"/>
    </x:xf>
    <x:xf numFmtId="0" fontId="1" fillId="221" borderId="0" xfId="0" applyNumberFormat="1" applyFont="1" applyFill="1" applyBorder="1" applyAlignment="1">
      <x:alignment vertical="center"/>
    </x:xf>
    <x:xf numFmtId="0" fontId="8" fillId="221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1" fillId="6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6" fontId="6" fillId="6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2271B"/>
      </x:font>
      <x:fill>
        <x:patternFill patternType="solid">
          <x:bgColor rgb="FFFCE6E3"/>
        </x:patternFill>
      </x:fill>
    </x:dxf>
    <x:dxf>
      <x:font>
        <x:b/>
        <x:color rgb="FFA2271B"/>
      </x:font>
      <x:fill>
        <x:patternFill patternType="solid">
          <x:bgColor rgb="FFFCE6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f0f6b1d9443f0" /><Relationship Type="http://schemas.openxmlformats.org/officeDocument/2006/relationships/theme" Target="/xl/theme/theme1.xml" Id="R5a59b17f1bc74e0e" /><Relationship Type="http://schemas.openxmlformats.org/officeDocument/2006/relationships/sharedStrings" Target="/xl/sharedStrings.xml" Id="R5337ae62bad1490e" /><Relationship Type="http://schemas.openxmlformats.org/officeDocument/2006/relationships/worksheet" Target="/xl/worksheets/sheet1.xml" Id="R5cfecc17358d41f1" /><Relationship Type="http://schemas.openxmlformats.org/officeDocument/2006/relationships/worksheet" Target="/xl/worksheets/sheet2.xml" Id="Rce18aa0684a2460a" /><Relationship Type="http://schemas.openxmlformats.org/officeDocument/2006/relationships/worksheet" Target="/xl/worksheets/sheet3.xml" Id="R8ce758322e31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93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3" hidden="0" customWidth="1"/>
    <x:col min="5" max="5" width="19" hidden="0" customWidth="1"/>
    <x:col min="6" max="6" width="3" hidden="0" customWidth="1"/>
    <x:col min="7" max="7" width="3" hidden="0" customWidth="1"/>
    <x:col min="8" max="8" width="48" hidden="0" customWidth="1"/>
    <x:col min="9" max="9" width="3" hidden="0" customWidth="1"/>
    <x:col min="10" max="10" width="18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C2" s="3" t="str">
        <x:v>1,000-ticket collection economics</x:v>
      </x:c>
      <x:c r="D2" s="2"/>
      <x:c r="E2" s="2"/>
      <x:c r="F2" s="2"/>
      <x:c r="G2" s="2"/>
      <x:c r="H2" s="2"/>
      <x:c r="I2" s="2"/>
      <x:c r="J2" s="2"/>
    </x:row>
    <x:row r="3" ht="25" customHeight="1">
      <x:c r="C3" s="4" t="str">
        <x:v>19 September 2026. Proposed plan with two ticket awards. No contract or launch settings changed.</x:v>
      </x:c>
      <x:c r="D3" s="2"/>
      <x:c r="E3" s="2"/>
      <x:c r="F3" s="2"/>
      <x:c r="G3" s="2"/>
      <x:c r="H3" s="2"/>
      <x:c r="I3" s="2"/>
      <x:c r="J3" s="2"/>
    </x:row>
    <x:row r="4" ht="25" customHeight="1"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C5" s="6" t="str">
        <x:v>ALL 22 SEASONS SOLD OUT</x:v>
      </x:c>
      <x:c r="D5" s="6"/>
      <x:c r="E5" s="6"/>
      <x:c r="F5" s="2"/>
      <x:c r="G5" s="2"/>
      <x:c r="H5" s="6" t="str">
        <x:v>EDITABLE ASSUMPTIONS</x:v>
      </x:c>
      <x:c r="I5" s="6"/>
      <x:c r="J5" s="6"/>
    </x:row>
    <x:row r="6" ht="25" customHeight="1">
      <x:c r="C6" s="2" t="str">
        <x:v>Collections</x:v>
      </x:c>
      <x:c r="D6" s="2"/>
      <x:c r="E6" s="18" t="n">
        <x:f>SUM('Seasons'!E6:E27)</x:f>
        <x:v>216</x:v>
      </x:c>
      <x:c r="F6" s="2"/>
      <x:c r="G6" s="2"/>
      <x:c r="H6" s="2" t="str">
        <x:v>Mint price (ETH)</x:v>
      </x:c>
      <x:c r="I6" s="2"/>
      <x:c r="J6" s="9" t="n">
        <x:v>0.01</x:v>
      </x:c>
    </x:row>
    <x:row r="7" ht="25" customHeight="1">
      <x:c r="C7" s="2" t="str">
        <x:v>NFT supply</x:v>
      </x:c>
      <x:c r="D7" s="2"/>
      <x:c r="E7" s="18" t="n">
        <x:f>SUM('Seasons'!J6:J27)</x:f>
        <x:v>216000</x:v>
      </x:c>
      <x:c r="F7" s="2"/>
      <x:c r="G7" s="2"/>
      <x:c r="H7" s="2" t="str">
        <x:v>First-ticket prize share</x:v>
      </x:c>
      <x:c r="I7" s="2"/>
      <x:c r="J7" s="10" t="n">
        <x:v>0.4</x:v>
      </x:c>
    </x:row>
    <x:row r="8" ht="25" customHeight="1">
      <x:c r="C8" s="2" t="str">
        <x:v>Gross mint value (ETH)</x:v>
      </x:c>
      <x:c r="D8" s="2"/>
      <x:c r="E8" s="12" t="n">
        <x:f>SUM('Seasons'!K6:K27)</x:f>
        <x:v>2160</x:v>
      </x:c>
      <x:c r="F8" s="2"/>
      <x:c r="G8" s="2"/>
      <x:c r="H8" s="2" t="str">
        <x:v>Second-ticket prize share</x:v>
      </x:c>
      <x:c r="I8" s="2"/>
      <x:c r="J8" s="10" t="n">
        <x:v>0.2</x:v>
      </x:c>
    </x:row>
    <x:row r="9" ht="25" customHeight="1">
      <x:c r="C9" s="2" t="str">
        <x:v>Two-ticket prizes (ETH)</x:v>
      </x:c>
      <x:c r="D9" s="2"/>
      <x:c r="E9" s="12" t="n">
        <x:f>SUM('Seasons'!L6:L27)</x:f>
        <x:v>1296.0000000000002</x:v>
      </x:c>
      <x:c r="F9" s="2"/>
      <x:c r="G9" s="2"/>
      <x:c r="H9" s="2" t="str">
        <x:v>Growth collection affiliate budget</x:v>
      </x:c>
      <x:c r="I9" s="2"/>
      <x:c r="J9" s="10" t="n">
        <x:v>0.2</x:v>
      </x:c>
    </x:row>
    <x:row r="10" ht="25" customHeight="1">
      <x:c r="C10" s="2" t="str">
        <x:v>Maximum affiliate budget (ETH)</x:v>
      </x:c>
      <x:c r="D10" s="2"/>
      <x:c r="E10" s="12" t="n">
        <x:f>SUM('Seasons'!M6:M27)</x:f>
        <x:v>292</x:v>
      </x:c>
      <x:c r="F10" s="2"/>
      <x:c r="G10" s="2"/>
      <x:c r="H10" s="2" t="str">
        <x:v>Standard collection affiliate budget</x:v>
      </x:c>
      <x:c r="I10" s="2"/>
      <x:c r="J10" s="10" t="n">
        <x:v>0.1</x:v>
      </x:c>
    </x:row>
    <x:row r="11" ht="29" customHeight="1">
      <x:c r="C11" s="22" t="str">
        <x:v>Operator gross allocation (ETH)</x:v>
      </x:c>
      <x:c r="D11" s="22"/>
      <x:c r="E11" s="23" t="n">
        <x:f>SUM('Seasons'!N6:N27)</x:f>
        <x:v>571.9999999999999</x:v>
      </x:c>
      <x:c r="F11" s="2"/>
      <x:c r="G11" s="2"/>
      <x:c r="H11" s="2" t="str">
        <x:v>Gas and VRF budget / collection (ETH)</x:v>
      </x:c>
      <x:c r="I11" s="2"/>
      <x:c r="J11" s="9" t="n">
        <x:v>0.1</x:v>
      </x:c>
    </x:row>
    <x:row r="12" ht="25" customHeight="1">
      <x:c r="C12" s="2"/>
      <x:c r="D12" s="2"/>
      <x:c r="E12" s="2"/>
      <x:c r="F12" s="2"/>
      <x:c r="G12" s="2"/>
      <x:c r="H12" s="2" t="str">
        <x:v>Credit funding / eligible winner (ETH)</x:v>
      </x:c>
      <x:c r="I12" s="2"/>
      <x:c r="J12" s="12" t="n">
        <x:f>J6</x:f>
        <x:v>0.01</x:v>
      </x:c>
    </x:row>
    <x:row r="13" ht="25" customHeight="1">
      <x:c r="C13" s="2" t="str">
        <x:v>Gas and VRF budget (ETH)</x:v>
      </x:c>
      <x:c r="D13" s="2"/>
      <x:c r="E13" s="12" t="n">
        <x:f>E6*J11</x:f>
        <x:v>21.6</x:v>
      </x:c>
      <x:c r="F13" s="2"/>
      <x:c r="G13" s="2"/>
      <x:c r="H13" s="2" t="str">
        <x:v>One-time launch setup budget (USD)</x:v>
      </x:c>
      <x:c r="I13" s="2"/>
      <x:c r="J13" s="13" t="n">
        <x:v>50000</x:v>
      </x:c>
    </x:row>
    <x:row r="14" ht="25" customHeight="1">
      <x:c r="C14" s="2" t="str">
        <x:v>Winner credit funding budget (ETH)</x:v>
      </x:c>
      <x:c r="D14" s="2"/>
      <x:c r="E14" s="12" t="n">
        <x:f>E6*J24*J12</x:f>
        <x:v>4.32</x:v>
      </x:c>
      <x:c r="F14" s="2"/>
      <x:c r="G14" s="2"/>
      <x:c r="H14" s="2" t="str">
        <x:v>Operations budget / month (USD)</x:v>
      </x:c>
      <x:c r="I14" s="2"/>
      <x:c r="J14" s="13" t="n">
        <x:v>5000</x:v>
      </x:c>
    </x:row>
    <x:row r="15" ht="25" customHeight="1">
      <x:c r="C15" s="2" t="str">
        <x:v>Elapsed horizon (days)</x:v>
      </x:c>
      <x:c r="D15" s="2"/>
      <x:c r="E15" s="18" t="n">
        <x:f>E6*J16</x:f>
        <x:v>1512</x:v>
      </x:c>
      <x:c r="F15" s="2"/>
      <x:c r="G15" s="2"/>
      <x:c r="H15" s="2" t="str">
        <x:v>Illustrative USD per ETH</x:v>
      </x:c>
      <x:c r="I15" s="2"/>
      <x:c r="J15" s="13" t="n">
        <x:v>3000</x:v>
      </x:c>
    </x:row>
    <x:row r="16" ht="25" customHeight="1">
      <x:c r="C16" s="2" t="str">
        <x:v>Budgeted operating months</x:v>
      </x:c>
      <x:c r="D16" s="2"/>
      <x:c r="E16" s="18" t="n">
        <x:f>ROUNDUP(E15/J17,0)</x:f>
        <x:v>50</x:v>
      </x:c>
      <x:c r="F16" s="2"/>
      <x:c r="G16" s="2"/>
      <x:c r="H16" s="2" t="str">
        <x:v>Average elapsed days / collection</x:v>
      </x:c>
      <x:c r="I16" s="2"/>
      <x:c r="J16" s="14" t="n">
        <x:v>7</x:v>
      </x:c>
    </x:row>
    <x:row r="17" ht="25" customHeight="1">
      <x:c r="C17" s="2" t="str">
        <x:v>Total overhead budget (USD)</x:v>
      </x:c>
      <x:c r="D17" s="2"/>
      <x:c r="E17" s="19" t="n">
        <x:f>J13+E16*J14</x:f>
        <x:v>300000</x:v>
      </x:c>
      <x:c r="F17" s="2"/>
      <x:c r="G17" s="2"/>
      <x:c r="H17" s="2" t="str">
        <x:v>Days per budget month</x:v>
      </x:c>
      <x:c r="I17" s="2"/>
      <x:c r="J17" s="15" t="n">
        <x:v>30.4375</x:v>
      </x:c>
    </x:row>
    <x:row r="18" ht="25" customHeight="1">
      <x:c r="C18" s="2" t="str">
        <x:v>Overhead converted to ETH</x:v>
      </x:c>
      <x:c r="D18" s="2"/>
      <x:c r="E18" s="12" t="n">
        <x:f>E17/J15</x:f>
        <x:v>100</x:v>
      </x:c>
      <x:c r="F18" s="2"/>
      <x:c r="G18" s="2"/>
      <x:c r="H18" s="2" t="str">
        <x:v>Retain this share of operator gross</x:v>
      </x:c>
      <x:c r="I18" s="2"/>
      <x:c r="J18" s="10" t="n">
        <x:v>0.1</x:v>
      </x:c>
    </x:row>
    <x:row r="19" ht="25" customHeight="1">
      <x:c r="C19" s="2"/>
      <x:c r="D19" s="2"/>
      <x:c r="E19" s="2"/>
      <x:c r="F19" s="2"/>
      <x:c r="G19" s="2"/>
      <x:c r="H19" s="2" t="str">
        <x:v>Royalty revenue (ETH)</x:v>
      </x:c>
      <x:c r="I19" s="2"/>
      <x:c r="J19" s="9" t="n">
        <x:v>0</x:v>
      </x:c>
    </x:row>
    <x:row r="20" ht="29" customHeight="1">
      <x:c r="C20" s="22" t="str">
        <x:v>Pre-tax modeled cash surplus (ETH)</x:v>
      </x:c>
      <x:c r="D20" s="22"/>
      <x:c r="E20" s="23" t="n">
        <x:f>E11+J19-SUM(E13:E14)-E18</x:f>
        <x:v>446.0799999999999</x:v>
      </x:c>
      <x:c r="F20" s="2"/>
      <x:c r="G20" s="2"/>
      <x:c r="H20" s="2" t="str">
        <x:v>NFTs per collection</x:v>
      </x:c>
      <x:c r="I20" s="2"/>
      <x:c r="J20" s="14" t="n">
        <x:v>1000</x:v>
      </x:c>
    </x:row>
    <x:row r="21" ht="25" customHeight="1">
      <x:c r="C21" s="2" t="str">
        <x:v>Treasury reserve retained (ETH)</x:v>
      </x:c>
      <x:c r="D21" s="2"/>
      <x:c r="E21" s="12" t="n">
        <x:f>E11*J18</x:f>
        <x:v>57.19999999999999</x:v>
      </x:c>
      <x:c r="F21" s="2"/>
      <x:c r="G21" s="2"/>
      <x:c r="H21" s="2" t="str">
        <x:v>Maximum affiliate enrollment slots</x:v>
      </x:c>
      <x:c r="I21" s="2"/>
      <x:c r="J21" s="14" t="n">
        <x:v>10</x:v>
      </x:c>
    </x:row>
    <x:row r="22" ht="29" customHeight="1">
      <x:c r="C22" s="22" t="str">
        <x:v>Possible owner distribution (ETH)</x:v>
      </x:c>
      <x:c r="D22" s="22"/>
      <x:c r="E22" s="26" t="n">
        <x:f>E20-E21</x:f>
        <x:v>388.87999999999994</x:v>
      </x:c>
      <x:c r="F22" s="2"/>
      <x:c r="G22" s="2"/>
      <x:c r="H22" s="2" t="str">
        <x:v>Proposed paid referrals to qualify</x:v>
      </x:c>
      <x:c r="I22" s="2"/>
      <x:c r="J22" s="14" t="n">
        <x:v>100</x:v>
      </x:c>
    </x:row>
    <x:row r="23" ht="29" customHeight="1">
      <x:c r="C23" s="22" t="str">
        <x:v>Illustrative owner distribution (USD)</x:v>
      </x:c>
      <x:c r="D23" s="22"/>
      <x:c r="E23" s="27" t="n">
        <x:f>E22*J15</x:f>
        <x:v>1166639.9999999998</x:v>
      </x:c>
      <x:c r="F23" s="2"/>
      <x:c r="G23" s="2"/>
      <x:c r="H23" s="2" t="str">
        <x:v>Proposed lowest-referrer payout cap</x:v>
      </x:c>
      <x:c r="I23" s="2"/>
      <x:c r="J23" s="10" t="n">
        <x:v>0.3</x:v>
      </x:c>
    </x:row>
    <x:row r="24" ht="25" customHeight="1">
      <x:c r="C24" s="2"/>
      <x:c r="D24" s="2"/>
      <x:c r="E24" s="2"/>
      <x:c r="F24" s="2"/>
      <x:c r="G24" s="2"/>
      <x:c r="H24" s="2" t="str">
        <x:v>Winning tickets per collection</x:v>
      </x:c>
      <x:c r="I24" s="2"/>
      <x:c r="J24" s="17" t="n">
        <x:v>2</x:v>
      </x:c>
    </x:row>
    <x:row r="25" ht="25" customHeight="1">
      <x:c r="C25" s="2" t="str">
        <x:v>Average operator gross / collection (ETH)</x:v>
      </x:c>
      <x:c r="D25" s="2"/>
      <x:c r="E25" s="12" t="n">
        <x:f>E11/E6</x:f>
        <x:v>2.6481481481481475</x:v>
      </x:c>
      <x:c r="F25" s="2"/>
      <x:c r="G25" s="2"/>
      <x:c r="H25" s="2" t="str">
        <x:v>Total deadline / collection (days)</x:v>
      </x:c>
      <x:c r="I25" s="2"/>
      <x:c r="J25" s="14" t="n">
        <x:v>14</x:v>
      </x:c>
    </x:row>
    <x:row r="26" ht="25" customHeight="1">
      <x:c r="C26" s="2" t="str">
        <x:v>Average distribution / collection (ETH)</x:v>
      </x:c>
      <x:c r="D26" s="2"/>
      <x:c r="E26" s="12" t="n">
        <x:f>E22/E6</x:f>
        <x:v>1.8003703703703702</x:v>
      </x:c>
      <x:c r="F26" s="2"/>
      <x:c r="G26" s="2"/>
      <x:c r="H26" s="2" t="str">
        <x:v>Affiliate enrollment included (hours)</x:v>
      </x:c>
      <x:c r="I26" s="2"/>
      <x:c r="J26" s="14" t="n">
        <x:v>48</x:v>
      </x:c>
    </x:row>
    <x:row r="27" ht="25" customHeight="1">
      <x:c r="C27" s="2" t="str">
        <x:v>Prize-only expected value / NFT (ETH)</x:v>
      </x:c>
      <x:c r="D27" s="2"/>
      <x:c r="E27" s="12" t="n">
        <x:f>J6*SUM(J7:J8)</x:f>
        <x:v>0.006000000000000001</x:v>
      </x:c>
      <x:c r="F27" s="2"/>
      <x:c r="G27" s="2"/>
      <x:c r="H27" s="2"/>
      <x:c r="I27" s="2"/>
      <x:c r="J27" s="2"/>
    </x:row>
    <x:row r="28" ht="25" customHeight="1">
      <x:c r="C28" s="2" t="str">
        <x:v>Mint price less prize-only EV (ETH)</x:v>
      </x:c>
      <x:c r="D28" s="2"/>
      <x:c r="E28" s="12" t="n">
        <x:f>J6-E27</x:f>
        <x:v>0.003999999999999999</x:v>
      </x:c>
      <x:c r="F28" s="2"/>
      <x:c r="G28" s="2"/>
      <x:c r="H28" s="4" t="str">
        <x:v>Blue numbers on amber cells are editable.</x:v>
      </x:c>
      <x:c r="I28" s="2"/>
      <x:c r="J28" s="2"/>
    </x:row>
    <x:row r="29" ht="25" customHeight="1">
      <x:c r="C29" s="2"/>
      <x:c r="D29" s="2"/>
      <x:c r="E29" s="2"/>
      <x:c r="F29" s="2"/>
      <x:c r="G29" s="2"/>
      <x:c r="H29" s="4" t="str">
        <x:v>Try chain budgets of 0.05 or 0.20 ETH.</x:v>
      </x:c>
      <x:c r="I29" s="2"/>
      <x:c r="J29" s="2"/>
    </x:row>
    <x:row r="30" ht="25" customHeight="1">
      <x:c r="C30" s="2"/>
      <x:c r="D30" s="2"/>
      <x:c r="E30" s="2"/>
      <x:c r="F30" s="2"/>
      <x:c r="G30" s="2"/>
      <x:c r="H30" s="2"/>
      <x:c r="I30" s="2"/>
      <x:c r="J30" s="2"/>
    </x:row>
    <x:row r="31" ht="30" customHeight="1">
      <x:c r="C31" s="6" t="str">
        <x:v>PLAN AND CASH FLOW ASSUMPTIONS</x:v>
      </x:c>
      <x:c r="D31" s="6"/>
      <x:c r="E31" s="6"/>
      <x:c r="F31" s="6"/>
      <x:c r="G31" s="6"/>
      <x:c r="H31" s="6"/>
      <x:c r="I31" s="6"/>
      <x:c r="J31" s="6"/>
    </x:row>
    <x:row r="32" ht="25" customHeight="1">
      <x:c r="C32" s="28" t="str">
        <x:v>Each collection targets 1,000 NFTs at 0.01 ETH. The first ticket receives 4 ETH and the second receives 2 ETH at those settings.</x:v>
      </x:c>
      <x:c r="D32" s="2"/>
      <x:c r="E32" s="2"/>
      <x:c r="F32" s="2"/>
      <x:c r="G32" s="2"/>
      <x:c r="H32" s="2"/>
      <x:c r="I32" s="2"/>
      <x:c r="J32" s="2"/>
    </x:row>
    <x:row r="33" ht="25" customHeight="1">
      <x:c r="C33" s="28" t="str">
        <x:v>Two distinct NFTs receive awards. One wallet may hold both. All collections must sell out for this full-catalog projection.</x:v>
      </x:c>
      <x:c r="D33" s="2"/>
      <x:c r="E33" s="2"/>
      <x:c r="F33" s="2"/>
      <x:c r="G33" s="2"/>
      <x:c r="H33" s="2"/>
      <x:c r="I33" s="2"/>
      <x:c r="J33" s="2"/>
    </x:row>
    <x:row r="34" ht="25" customHeight="1">
      <x:c r="C34" s="28" t="str">
        <x:v>Seasons 1–4: all growth. Seasons 5–22: first two collections growth, remaining collections standard. Total: 76 growth and 140 standard.</x:v>
      </x:c>
      <x:c r="D34" s="2"/>
      <x:c r="E34" s="2"/>
      <x:c r="F34" s="2"/>
      <x:c r="G34" s="2"/>
      <x:c r="H34" s="2"/>
      <x:c r="I34" s="2"/>
      <x:c r="J34" s="2"/>
    </x:row>
    <x:row r="35" ht="25" customHeight="1">
      <x:c r="C35" s="28" t="str">
        <x:v>Growth collections allocate up to 2 ETH to affiliates and 2 ETH gross to the operator. Standard collections allocate 1 ETH and 3 ETH.</x:v>
      </x:c>
      <x:c r="D35" s="2"/>
      <x:c r="E35" s="2"/>
      <x:c r="F35" s="2"/>
      <x:c r="G35" s="2"/>
      <x:c r="H35" s="2"/>
      <x:c r="I35" s="2"/>
      <x:c r="J35" s="2"/>
    </x:row>
    <x:row r="36" ht="25" customHeight="1">
      <x:c r="C36" s="28" t="str">
        <x:v>The 2–3 ETH operator allocation is gross, before costs. Modeled distribution is conditional pre-tax cash, not guaranteed profit.</x:v>
      </x:c>
      <x:c r="D36" s="2"/>
      <x:c r="E36" s="2"/>
      <x:c r="F36" s="2"/>
      <x:c r="G36" s="2"/>
      <x:c r="H36" s="2"/>
      <x:c r="I36" s="2"/>
      <x:c r="J36" s="2"/>
    </x:row>
    <x:row r="37" ht="25" customHeight="1">
      <x:c r="C37" s="28" t="str">
        <x:v>Cost allowances are not quotes: $50,000 setup for audit, legal and security, plus $5,000 monthly operations, support, content and marketing.</x:v>
      </x:c>
      <x:c r="D37" s="2"/>
      <x:c r="E37" s="2"/>
      <x:c r="F37" s="2"/>
      <x:c r="G37" s="2"/>
      <x:c r="H37" s="2"/>
      <x:c r="I37" s="2"/>
      <x:c r="J37" s="2"/>
    </x:row>
    <x:row r="38" ht="25" customHeight="1">
      <x:c r="C38" s="28" t="str">
        <x:v>Additional salaries, development, taxes and funding costs beyond these allowances are excluded. Delays add monthly costs and failed-launch gas.</x:v>
      </x:c>
      <x:c r="D38" s="2"/>
      <x:c r="E38" s="2"/>
      <x:c r="F38" s="2"/>
      <x:c r="G38" s="2"/>
      <x:c r="H38" s="2"/>
      <x:c r="I38" s="2"/>
      <x:c r="J38" s="2"/>
    </x:row>
    <x:row r="39" ht="25" customHeight="1">
      <x:c r="C39" s="28" t="str">
        <x:v>ETH/USD remains constant at the illustrative rate. Secondary-market royalties are zero. Failed sellouts refund primary mint payments.</x:v>
      </x:c>
      <x:c r="D39" s="2"/>
      <x:c r="E39" s="2"/>
      <x:c r="F39" s="2"/>
      <x:c r="G39" s="2"/>
      <x:c r="H39" s="2"/>
      <x:c r="I39" s="2"/>
      <x:c r="J39" s="2"/>
    </x:row>
    <x:row r="40" ht="25" customHeight="1">
      <x:c r="C40" s="28" t="str">
        <x:v>Both award holders are proposed to qualify for the existing one-credit-per-wallet lifetime policy. Same wallet winning twice earns one credit.</x:v>
      </x:c>
      <x:c r="D40" s="2"/>
      <x:c r="E40" s="2"/>
      <x:c r="F40" s="2"/>
      <x:c r="G40" s="2"/>
      <x:c r="H40" s="2"/>
      <x:c r="I40" s="2"/>
      <x:c r="J40" s="2"/>
    </x:row>
    <x:row r="41" ht="25" customHeight="1">
      <x:c r="C41" s="28" t="str">
        <x:v>Budget covers at most 432 distinct wallets at 0.01 ETH each. With no founding credits, up to 430 can redeem inside this catalog.</x:v>
      </x:c>
      <x:c r="D41" s="2"/>
      <x:c r="E41" s="2"/>
      <x:c r="F41" s="2"/>
      <x:c r="G41" s="2"/>
      <x:c r="H41" s="2"/>
      <x:c r="I41" s="2"/>
      <x:c r="J41" s="2"/>
    </x:row>
    <x:row r="42" ht="25" customHeight="1">
      <x:c r="C42" s="28" t="str">
        <x:v>Final two credits apply to future collections. Higher future prices require more backing. Sponsored mints are not external customer revenue.</x:v>
      </x:c>
      <x:c r="D42" s="2"/>
      <x:c r="E42" s="2"/>
      <x:c r="F42" s="2"/>
      <x:c r="G42" s="2"/>
      <x:c r="H42" s="2"/>
      <x:c r="I42" s="2"/>
      <x:c r="J42" s="2"/>
    </x:row>
    <x:row r="43" ht="25" customHeight="1">
      <x:c r="C43" s="28" t="str">
        <x:v>Price or supply edits scale all prizes and affiliate budgets by the percentages above. A fixed-prize 0.011 ETH variant is not modeled here.</x:v>
      </x:c>
      <x:c r="D43" s="2"/>
      <x:c r="E43" s="2"/>
      <x:c r="F43" s="2"/>
      <x:c r="G43" s="2"/>
      <x:c r="H43" s="2"/>
      <x:c r="I43" s="2"/>
      <x:c r="J43" s="2"/>
    </x:row>
    <x:row r="44" ht="30" customHeight="1">
      <x:c r="C44" s="6" t="str">
        <x:v>AFFILIATE QUALIFICATION AND EQUAL SHARING</x:v>
      </x:c>
      <x:c r="D44" s="6"/>
      <x:c r="E44" s="6"/>
      <x:c r="F44" s="6"/>
      <x:c r="G44" s="6"/>
      <x:c r="H44" s="6"/>
      <x:c r="I44" s="6"/>
      <x:c r="J44" s="6"/>
    </x:row>
    <x:row r="45" ht="25" customHeight="1">
      <x:c r="C45" s="28" t="str">
        <x:v>Confirmed direction: equal sharing only after a published referral minimum. Proposed terms: ten enrollment slots and 100 paid referrals each.</x:v>
      </x:c>
      <x:c r="D45" s="2"/>
      <x:c r="E45" s="2"/>
      <x:c r="F45" s="2"/>
      <x:c r="G45" s="2"/>
      <x:c r="H45" s="2"/>
      <x:c r="I45" s="2"/>
      <x:c r="J45" s="2"/>
    </x:row>
    <x:row r="46" ht="25" customHeight="1">
      <x:c r="C46" s="28" t="str">
        <x:v>Nominal payout is pool divided by qualified affiliates. No qualifier means no payout. The projection budgets the full nominal pool.</x:v>
      </x:c>
      <x:c r="D46" s="2"/>
      <x:c r="E46" s="2"/>
      <x:c r="F46" s="2"/>
      <x:c r="G46" s="2"/>
      <x:c r="H46" s="2"/>
      <x:c r="I46" s="2"/>
      <x:c r="J46" s="2"/>
    </x:row>
    <x:row r="47" ht="25" customHeight="1">
      <x:c r="C47" s="28" t="str">
        <x:v>Additional proposal, not yet approved: common payout = MIN(pool / qualifiers, 30% of the lowest qualified affiliate’s referred revenue).</x:v>
      </x:c>
      <x:c r="D47" s="2"/>
      <x:c r="E47" s="2"/>
      <x:c r="F47" s="2"/>
      <x:c r="G47" s="2"/>
      <x:c r="H47" s="2"/>
      <x:c r="I47" s="2"/>
      <x:c r="J47" s="2"/>
    </x:row>
    <x:row r="48" ht="25" customHeight="1">
      <x:c r="C48" s="28" t="str">
        <x:v>Unreleased funds remain in the growth reserve. The qualification rule and recommended cap require contract and application changes.</x:v>
      </x:c>
      <x:c r="D48" s="2"/>
      <x:c r="E48" s="2"/>
      <x:c r="F48" s="2"/>
      <x:c r="G48" s="2"/>
      <x:c r="H48" s="2"/>
      <x:c r="I48" s="2"/>
      <x:c r="J48" s="2"/>
    </x:row>
    <x:row r="49" ht="25" customHeight="1">
      <x:c r="C49" s="28" t="str">
        <x:v>Examples at 0.01 ETH: four qualifiers with at least 167 referrals each receive 0.5 ETH each from a growth pool.</x:v>
      </x:c>
      <x:c r="D49" s="2"/>
      <x:c r="E49" s="2"/>
      <x:c r="F49" s="2"/>
      <x:c r="G49" s="2"/>
      <x:c r="H49" s="2"/>
      <x:c r="I49" s="2"/>
      <x:c r="J49" s="2"/>
    </x:row>
    <x:row r="50" ht="25" customHeight="1">
      <x:c r="C50" s="28" t="str">
        <x:v>Four qualifiers at 100 referrals each receive 0.25 ETH from a standard pool, or a capped 0.3 ETH from a growth pool (0.8 ETH retained).</x:v>
      </x:c>
      <x:c r="D50" s="2"/>
      <x:c r="E50" s="2"/>
      <x:c r="F50" s="2"/>
      <x:c r="G50" s="2"/>
      <x:c r="H50" s="2"/>
      <x:c r="I50" s="2"/>
      <x:c r="J50" s="2"/>
    </x:row>
    <x:row r="51" ht="25" customHeight="1">
      <x:c r="C51" s="28" t="str">
        <x:v>Ten qualifiers with 100 paid referrals each receive 0.2 ETH each in growth collections, or 0.1 ETH each in standard collections.</x:v>
      </x:c>
      <x:c r="D51" s="2"/>
      <x:c r="E51" s="2"/>
      <x:c r="F51" s="2"/>
      <x:c r="G51" s="2"/>
      <x:c r="H51" s="2"/>
      <x:c r="I51" s="2"/>
      <x:c r="J51" s="2"/>
    </x:row>
    <x:row r="52" ht="25" customHeight="1">
      <x:c r="C52" s="2"/>
      <x:c r="D52" s="2"/>
      <x:c r="E52" s="2"/>
      <x:c r="F52" s="2"/>
      <x:c r="G52" s="2"/>
      <x:c r="H52" s="2"/>
      <x:c r="I52" s="2"/>
      <x:c r="J52" s="2"/>
    </x:row>
    <x:row r="53" ht="30" customHeight="1">
      <x:c r="C53" s="6" t="str">
        <x:v>LAUNCH AND IMPLEMENTATION REQUIREMENTS</x:v>
      </x:c>
      <x:c r="D53" s="6"/>
      <x:c r="E53" s="6"/>
      <x:c r="F53" s="6"/>
      <x:c r="G53" s="6"/>
      <x:c r="H53" s="6"/>
      <x:c r="I53" s="6"/>
      <x:c r="J53" s="6"/>
    </x:row>
    <x:row r="54" ht="25" customHeight="1">
      <x:c r="C54" s="28" t="str">
        <x:v>Run one collection at a time. Proposed deadline: 14 days including 48 hours of enrollment. Wait at least 24 hours after prize claims.</x:v>
      </x:c>
      <x:c r="D54" s="2"/>
      <x:c r="E54" s="2"/>
      <x:c r="F54" s="2"/>
      <x:c r="G54" s="2"/>
      <x:c r="H54" s="2"/>
      <x:c r="I54" s="2"/>
      <x:c r="J54" s="2"/>
    </x:row>
    <x:row r="55" ht="25" customHeight="1">
      <x:c r="C55" s="28" t="str">
        <x:v>The seven-day average cadence implies 1,512 days and 50 budget months. It includes enrollment, sale, draw, prize claims and the gap.</x:v>
      </x:c>
      <x:c r="D55" s="2"/>
      <x:c r="E55" s="2"/>
      <x:c r="F55" s="2"/>
      <x:c r="G55" s="2"/>
      <x:c r="H55" s="2"/>
      <x:c r="I55" s="2"/>
      <x:c r="J55" s="2"/>
    </x:row>
    <x:row r="56" ht="25" customHeight="1">
      <x:c r="C56" s="28" t="str">
        <x:v>A two-award version needs uniform selection without replacement. Adjacent ranks from the current rotation cannot establish this fairness.</x:v>
      </x:c>
      <x:c r="D56" s="2"/>
      <x:c r="E56" s="2"/>
      <x:c r="F56" s="2"/>
      <x:c r="G56" s="2"/>
      <x:c r="H56" s="2"/>
      <x:c r="I56" s="2"/>
      <x:c r="J56" s="2"/>
    </x:row>
    <x:row r="57" ht="25" customHeight="1">
      <x:c r="C57" s="28" t="str">
        <x:v>Implement independent holder-only prize claims, multi-award credit records, indexer updates and transparent odds before any live launch.</x:v>
      </x:c>
      <x:c r="D57" s="2"/>
      <x:c r="E57" s="2"/>
      <x:c r="F57" s="2"/>
      <x:c r="G57" s="2"/>
      <x:c r="H57" s="2"/>
      <x:c r="I57" s="2"/>
      <x:c r="J57" s="2"/>
    </x:row>
    <x:row r="58" ht="25" customHeight="1">
      <x:c r="C58" s="2"/>
      <x:c r="D58" s="2"/>
      <x:c r="E58" s="2"/>
      <x:c r="F58" s="2"/>
      <x:c r="G58" s="2"/>
      <x:c r="H58" s="2"/>
      <x:c r="I58" s="2"/>
      <x:c r="J58" s="2"/>
    </x:row>
    <x:row r="59" ht="30" customHeight="1">
      <x:c r="C59" s="6" t="str">
        <x:v>ASSUMPTION SOURCES</x:v>
      </x:c>
      <x:c r="D59" s="6"/>
      <x:c r="E59" s="6"/>
      <x:c r="F59" s="6"/>
      <x:c r="G59" s="6"/>
      <x:c r="H59" s="6"/>
      <x:c r="I59" s="6"/>
      <x:c r="J59" s="6"/>
    </x:row>
    <x:row r="60" ht="25" customHeight="1">
      <x:c r="C60" s="28" t="str">
        <x:v>Season names, color names and order: user-supplied seasons.json, read 19 September 2026. Economics are proposed planning assumptions.</x:v>
      </x:c>
      <x:c r="D60" s="2"/>
      <x:c r="E60" s="2"/>
      <x:c r="F60" s="2"/>
      <x:c r="G60" s="2"/>
      <x:c r="H60" s="2"/>
      <x:c r="I60" s="2"/>
      <x:c r="J60" s="2"/>
    </x:row>
    <x:row r="61" ht="25" customHeight="1">
      <x:c r="C61" s="28" t="str">
        <x:v>Gas mechanics: https://ethereum.org/en/developers/docs/gas/</x:v>
      </x:c>
      <x:c r="D61" s="2"/>
      <x:c r="E61" s="2"/>
      <x:c r="F61" s="2"/>
      <x:c r="G61" s="2"/>
      <x:c r="H61" s="2"/>
      <x:c r="I61" s="2"/>
      <x:c r="J61" s="2"/>
    </x:row>
    <x:row r="62" ht="25" customHeight="1">
      <x:c r="C62" s="28" t="str">
        <x:v>VRF billing: https://docs.chain.link/vrf/v2-5/billing. The 0.10 ETH chain allowance is not a measured production-version cost.</x:v>
      </x:c>
      <x:c r="D62" s="2"/>
      <x:c r="E62" s="2"/>
      <x:c r="F62" s="2"/>
      <x:c r="G62" s="2"/>
      <x:c r="H62" s="2"/>
      <x:c r="I62" s="2"/>
      <x:c r="J62" s="2"/>
    </x:row>
    <x:row r="63" ht="25" customHeight="1">
      <x:c r="C63" s="2"/>
      <x:c r="D63" s="2"/>
      <x:c r="E63" s="2"/>
      <x:c r="F63" s="2"/>
      <x:c r="G63" s="2"/>
      <x:c r="H63" s="2"/>
      <x:c r="I63" s="2"/>
      <x:c r="J63" s="2"/>
    </x:row>
    <x:row r="64" ht="30" customHeight="1">
      <x:c r="C64" s="6" t="str">
        <x:v>RECONCILIATION</x:v>
      </x:c>
      <x:c r="D64" s="6"/>
      <x:c r="E64" s="6"/>
      <x:c r="F64" s="6"/>
      <x:c r="G64" s="6"/>
      <x:c r="H64" s="6"/>
      <x:c r="I64" s="6"/>
      <x:c r="J64" s="6"/>
    </x:row>
    <x:row r="65" ht="25" customHeight="1">
      <x:c r="C65" s="2" t="str">
        <x:v>Collection count less source count</x:v>
      </x:c>
      <x:c r="D65" s="2"/>
      <x:c r="E65" s="29" t="n">
        <x:f>E6-216</x:f>
        <x:v>0</x:v>
      </x:c>
      <x:c r="F65" s="2"/>
      <x:c r="G65" s="2"/>
      <x:c r="H65" s="2"/>
      <x:c r="I65" s="2"/>
      <x:c r="J65" s="2"/>
    </x:row>
    <x:row r="66" ht="25" customHeight="1">
      <x:c r="C66" s="2" t="str">
        <x:v>Mint allocation difference (ETH)</x:v>
      </x:c>
      <x:c r="D66" s="2"/>
      <x:c r="E66" s="29" t="n">
        <x:f>E8-SUM(E9:E11)</x:f>
        <x:v>0</x:v>
      </x:c>
      <x:c r="F66" s="2"/>
      <x:c r="G66" s="2"/>
      <x:c r="H66" s="2"/>
      <x:c r="I66" s="2"/>
      <x:c r="J66" s="2"/>
    </x:row>
    <x:row r="67" ht="25" customHeight="1">
      <x:c r="C67" s="2" t="str">
        <x:v>Collection detail revenue difference (ETH)</x:v>
      </x:c>
      <x:c r="D67" s="2"/>
      <x:c r="E67" s="29" t="n">
        <x:f>E8-SUM('Collections'!J6:J221)</x:f>
        <x:v>0</x:v>
      </x:c>
      <x:c r="F67" s="2"/>
      <x:c r="G67" s="2"/>
      <x:c r="H67" s="2"/>
      <x:c r="I67" s="2"/>
      <x:c r="J67" s="2"/>
    </x:row>
    <x:row r="68" ht="25" customHeight="1">
      <x:c r="C68" s="2" t="str">
        <x:v>Growth collection count</x:v>
      </x:c>
      <x:c r="D68" s="2"/>
      <x:c r="E68" s="11" t="n">
        <x:f>SUM('Seasons'!O6:O27)</x:f>
        <x:v>76</x:v>
      </x:c>
      <x:c r="F68" s="2"/>
      <x:c r="G68" s="2"/>
      <x:c r="H68" s="2"/>
      <x:c r="I68" s="2"/>
      <x:c r="J68" s="2"/>
    </x:row>
    <x:row r="69" ht="25" customHeight="1">
      <x:c r="C69" s="2" t="str">
        <x:v>Standard collection count</x:v>
      </x:c>
      <x:c r="D69" s="2"/>
      <x:c r="E69" s="11" t="n">
        <x:f>SUM('Seasons'!P6:P27)</x:f>
        <x:v>140</x:v>
      </x:c>
      <x:c r="F69" s="2"/>
      <x:c r="G69" s="2"/>
      <x:c r="H69" s="2"/>
      <x:c r="I69" s="2"/>
      <x:c r="J69" s="2"/>
    </x:row>
    <x:row r="70" ht="25" customHeight="1"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C71" s="2"/>
      <x:c r="D71" s="2"/>
      <x:c r="E71" s="2"/>
      <x:c r="F71" s="2"/>
      <x:c r="G71" s="2"/>
      <x:c r="H71" s="2"/>
      <x:c r="I71" s="2"/>
      <x:c r="J71" s="2"/>
    </x:row>
  </x:sheetData>
  <x:conditionalFormatting sqref="E20:E23">
    <x:cfRule type="cellIs" dxfId="0" priority="1" operator="lessThan">
      <x:formula>0</x:formula>
    </x:cfRule>
  </x:conditionalFormatting>
  <x:conditionalFormatting sqref="E65:E67">
    <x:cfRule type="cellIs" dxfId="1" priority="2" operator="notBetween">
      <x:formula>-1e-8</x:formula>
      <x:formula>1e-8</x:formula>
    </x:cfRule>
  </x:conditionalFormatting>
  <x:dataValidations count="5">
    <x:dataValidation type="list" sqref="J24">
      <x:formula1>"2"</x:formula1>
    </x:dataValidation>
    <x:dataValidation type="decimal" operator="greaterThan" sqref="J6">
      <x:formula1>0</x:formula1>
    </x:dataValidation>
    <x:dataValidation type="decimal" operator="between" sqref="J7:J10">
      <x:formula1>0</x:formula1>
      <x:formula2>1</x:formula2>
    </x:dataValidation>
    <x:dataValidation type="decimal" operator="greaterThan" sqref="J15:J17">
      <x:formula1>0</x:formula1>
    </x:dataValidation>
    <x:dataValidation type="whole" operator="greaterThan" sqref="J20:J2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906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8" hidden="0" customWidth="1"/>
    <x:col min="4" max="4" width="3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2" customHeight="1">
      <x:c r="C2" s="3" t="str">
        <x:v>Economics for each season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5" customHeight="1">
      <x:c r="C3" s="4" t="str">
        <x:v>All monetary totals are ETH. Prices, prizes, supply and costs follow Summary. Growth and standard counts reflect the proposed schedule.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5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5" customHeight="1">
      <x:c r="C5" s="31" t="str">
        <x:v>Season</x:v>
      </x:c>
      <x:c r="D5" s="31" t="str">
        <x:v>Season name</x:v>
      </x:c>
      <x:c r="E5" s="31" t="str">
        <x:v>Collections</x:v>
      </x:c>
      <x:c r="F5" s="31" t="str">
        <x:v>NFTs / collection</x:v>
      </x:c>
      <x:c r="G5" s="31" t="str">
        <x:v>Mint price ETH</x:v>
      </x:c>
      <x:c r="H5" s="31" t="str">
        <x:v>First prize share</x:v>
      </x:c>
      <x:c r="I5" s="31" t="str">
        <x:v>Second prize share</x:v>
      </x:c>
      <x:c r="J5" s="31" t="str">
        <x:v>Total NFTs</x:v>
      </x:c>
      <x:c r="K5" s="31" t="str">
        <x:v>Mint value ETH</x:v>
      </x:c>
      <x:c r="L5" s="31" t="str">
        <x:v>Prizes ETH</x:v>
      </x:c>
      <x:c r="M5" s="31" t="str">
        <x:v>Affiliate budget ETH</x:v>
      </x:c>
      <x:c r="N5" s="31" t="str">
        <x:v>Operator gross ETH</x:v>
      </x:c>
      <x:c r="O5" s="31" t="str">
        <x:v>Growth collections</x:v>
      </x:c>
      <x:c r="P5" s="31" t="str">
        <x:v>Standard collections</x:v>
      </x:c>
      <x:c r="Q5" s="31" t="str">
        <x:v>Affiliate slots</x:v>
      </x:c>
      <x:c r="R5" s="31" t="str">
        <x:v>Minimum referrals</x:v>
      </x:c>
      <x:c r="S5" s="31" t="str">
        <x:v>Average gross ETH</x:v>
      </x:c>
      <x:c r="T5" s="31" t="str">
        <x:v>Gas + credits ETH</x:v>
      </x:c>
    </x:row>
    <x:row r="6" ht="25" customHeight="1">
      <x:c r="C6" s="32" t="n">
        <x:v>1</x:v>
      </x:c>
      <x:c r="D6" s="32" t="str">
        <x:v>Crimson &amp; Blood Orange</x:v>
      </x:c>
      <x:c r="E6" s="474" t="n">
        <x:v>10</x:v>
      </x:c>
      <x:c r="F6" s="475" t="n">
        <x:f>'Summary'!$J$20</x:f>
        <x:v>1000</x:v>
      </x:c>
      <x:c r="G6" s="35" t="n">
        <x:f>'Summary'!$J$6</x:f>
        <x:v>0.01</x:v>
      </x:c>
      <x:c r="H6" s="36" t="n">
        <x:f>'Summary'!$J$7</x:f>
        <x:v>0.4</x:v>
      </x:c>
      <x:c r="I6" s="36" t="n">
        <x:f>'Summary'!$J$8</x:f>
        <x:v>0.2</x:v>
      </x:c>
      <x:c r="J6" s="478" t="n">
        <x:f>E6*F6</x:f>
        <x:v>10000</x:v>
      </x:c>
      <x:c r="K6" s="37" t="n">
        <x:f>J6*G6</x:f>
        <x:v>100</x:v>
      </x:c>
      <x:c r="L6" s="37" t="n">
        <x:f>K6*SUM(H6:I6)</x:f>
        <x:v>60.00000000000001</x:v>
      </x:c>
      <x:c r="M6" s="35" t="n">
        <x:f>SUMIFS('Collections'!$M$6:$M$221,'Collections'!$D$6:$D$221,C6)</x:f>
        <x:v>20</x:v>
      </x:c>
      <x:c r="N6" s="37" t="n">
        <x:f>K6-L6-M6</x:f>
        <x:v>19.999999999999993</x:v>
      </x:c>
      <x:c r="O6" s="475" t="n">
        <x:f>COUNTIFS('Collections'!$D$6:$D$221,C6,'Collections'!$G$6:$G$221,"Growth")</x:f>
        <x:v>10</x:v>
      </x:c>
      <x:c r="P6" s="478" t="n">
        <x:f>E6-O6</x:f>
        <x:v>0</x:v>
      </x:c>
      <x:c r="Q6" s="475" t="n">
        <x:f>'Summary'!$J$21</x:f>
        <x:v>10</x:v>
      </x:c>
      <x:c r="R6" s="475" t="n">
        <x:f>'Summary'!$J$22</x:f>
        <x:v>100</x:v>
      </x:c>
      <x:c r="S6" s="37" t="n">
        <x:f>N6/E6</x:f>
        <x:v>1.9999999999999993</x:v>
      </x:c>
      <x:c r="T6" s="35" t="n">
        <x:f>E6*('Summary'!$J$11+'Summary'!$J$12*'Summary'!$J$24)</x:f>
        <x:v>1.2000000000000002</x:v>
      </x:c>
    </x:row>
    <x:row r="7" ht="25" customHeight="1">
      <x:c r="C7" s="2" t="n">
        <x:v>2</x:v>
      </x:c>
      <x:c r="D7" s="2" t="str">
        <x:v>Burnt Sienna &amp; Terracotta</x:v>
      </x:c>
      <x:c r="E7" s="476" t="n">
        <x:v>10</x:v>
      </x:c>
      <x:c r="F7" s="477" t="n">
        <x:f>'Summary'!$J$20</x:f>
        <x:v>1000</x:v>
      </x:c>
      <x:c r="G7" s="60" t="n">
        <x:f>'Summary'!$J$6</x:f>
        <x:v>0.01</x:v>
      </x:c>
      <x:c r="H7" s="61" t="n">
        <x:f>'Summary'!$J$7</x:f>
        <x:v>0.4</x:v>
      </x:c>
      <x:c r="I7" s="61" t="n">
        <x:f>'Summary'!$J$8</x:f>
        <x:v>0.2</x:v>
      </x:c>
      <x:c r="J7" s="18" t="n">
        <x:f>E7*F7</x:f>
        <x:v>10000</x:v>
      </x:c>
      <x:c r="K7" s="12" t="n">
        <x:f>J7*G7</x:f>
        <x:v>100</x:v>
      </x:c>
      <x:c r="L7" s="12" t="n">
        <x:f>K7*SUM(H7:I7)</x:f>
        <x:v>60.00000000000001</x:v>
      </x:c>
      <x:c r="M7" s="60" t="n">
        <x:f>SUMIFS('Collections'!$M$6:$M$221,'Collections'!$D$6:$D$221,C7)</x:f>
        <x:v>20</x:v>
      </x:c>
      <x:c r="N7" s="12" t="n">
        <x:f>K7-L7-M7</x:f>
        <x:v>19.999999999999993</x:v>
      </x:c>
      <x:c r="O7" s="477" t="n">
        <x:f>COUNTIFS('Collections'!$D$6:$D$221,C7,'Collections'!$G$6:$G$221,"Growth")</x:f>
        <x:v>10</x:v>
      </x:c>
      <x:c r="P7" s="18" t="n">
        <x:f>E7-O7</x:f>
        <x:v>0</x:v>
      </x:c>
      <x:c r="Q7" s="477" t="n">
        <x:f>'Summary'!$J$21</x:f>
        <x:v>10</x:v>
      </x:c>
      <x:c r="R7" s="477" t="n">
        <x:f>'Summary'!$J$22</x:f>
        <x:v>100</x:v>
      </x:c>
      <x:c r="S7" s="12" t="n">
        <x:f>N7/E7</x:f>
        <x:v>1.9999999999999993</x:v>
      </x:c>
      <x:c r="T7" s="60" t="n">
        <x:f>E7*('Summary'!$J$11+'Summary'!$J$12*'Summary'!$J$24)</x:f>
        <x:v>1.2000000000000002</x:v>
      </x:c>
    </x:row>
    <x:row r="8" ht="25" customHeight="1">
      <x:c r="C8" s="32" t="n">
        <x:v>3</x:v>
      </x:c>
      <x:c r="D8" s="32" t="str">
        <x:v>Desert Sand &amp; Warm Amber</x:v>
      </x:c>
      <x:c r="E8" s="474" t="n">
        <x:v>10</x:v>
      </x:c>
      <x:c r="F8" s="475" t="n">
        <x:f>'Summary'!$J$20</x:f>
        <x:v>1000</x:v>
      </x:c>
      <x:c r="G8" s="35" t="n">
        <x:f>'Summary'!$J$6</x:f>
        <x:v>0.01</x:v>
      </x:c>
      <x:c r="H8" s="36" t="n">
        <x:f>'Summary'!$J$7</x:f>
        <x:v>0.4</x:v>
      </x:c>
      <x:c r="I8" s="36" t="n">
        <x:f>'Summary'!$J$8</x:f>
        <x:v>0.2</x:v>
      </x:c>
      <x:c r="J8" s="478" t="n">
        <x:f>E8*F8</x:f>
        <x:v>10000</x:v>
      </x:c>
      <x:c r="K8" s="37" t="n">
        <x:f>J8*G8</x:f>
        <x:v>100</x:v>
      </x:c>
      <x:c r="L8" s="37" t="n">
        <x:f>K8*SUM(H8:I8)</x:f>
        <x:v>60.00000000000001</x:v>
      </x:c>
      <x:c r="M8" s="35" t="n">
        <x:f>SUMIFS('Collections'!$M$6:$M$221,'Collections'!$D$6:$D$221,C8)</x:f>
        <x:v>20</x:v>
      </x:c>
      <x:c r="N8" s="37" t="n">
        <x:f>K8-L8-M8</x:f>
        <x:v>19.999999999999993</x:v>
      </x:c>
      <x:c r="O8" s="475" t="n">
        <x:f>COUNTIFS('Collections'!$D$6:$D$221,C8,'Collections'!$G$6:$G$221,"Growth")</x:f>
        <x:v>10</x:v>
      </x:c>
      <x:c r="P8" s="478" t="n">
        <x:f>E8-O8</x:f>
        <x:v>0</x:v>
      </x:c>
      <x:c r="Q8" s="475" t="n">
        <x:f>'Summary'!$J$21</x:f>
        <x:v>10</x:v>
      </x:c>
      <x:c r="R8" s="475" t="n">
        <x:f>'Summary'!$J$22</x:f>
        <x:v>100</x:v>
      </x:c>
      <x:c r="S8" s="37" t="n">
        <x:f>N8/E8</x:f>
        <x:v>1.9999999999999993</x:v>
      </x:c>
      <x:c r="T8" s="35" t="n">
        <x:f>E8*('Summary'!$J$11+'Summary'!$J$12*'Summary'!$J$24)</x:f>
        <x:v>1.2000000000000002</x:v>
      </x:c>
    </x:row>
    <x:row r="9" ht="25" customHeight="1">
      <x:c r="C9" s="2" t="n">
        <x:v>4</x:v>
      </x:c>
      <x:c r="D9" s="2" t="str">
        <x:v>Solar Yellow &amp; Pastel Gold</x:v>
      </x:c>
      <x:c r="E9" s="476" t="n">
        <x:v>10</x:v>
      </x:c>
      <x:c r="F9" s="477" t="n">
        <x:f>'Summary'!$J$20</x:f>
        <x:v>1000</x:v>
      </x:c>
      <x:c r="G9" s="60" t="n">
        <x:f>'Summary'!$J$6</x:f>
        <x:v>0.01</x:v>
      </x:c>
      <x:c r="H9" s="61" t="n">
        <x:f>'Summary'!$J$7</x:f>
        <x:v>0.4</x:v>
      </x:c>
      <x:c r="I9" s="61" t="n">
        <x:f>'Summary'!$J$8</x:f>
        <x:v>0.2</x:v>
      </x:c>
      <x:c r="J9" s="18" t="n">
        <x:f>E9*F9</x:f>
        <x:v>10000</x:v>
      </x:c>
      <x:c r="K9" s="12" t="n">
        <x:f>J9*G9</x:f>
        <x:v>100</x:v>
      </x:c>
      <x:c r="L9" s="12" t="n">
        <x:f>K9*SUM(H9:I9)</x:f>
        <x:v>60.00000000000001</x:v>
      </x:c>
      <x:c r="M9" s="60" t="n">
        <x:f>SUMIFS('Collections'!$M$6:$M$221,'Collections'!$D$6:$D$221,C9)</x:f>
        <x:v>20</x:v>
      </x:c>
      <x:c r="N9" s="12" t="n">
        <x:f>K9-L9-M9</x:f>
        <x:v>19.999999999999993</x:v>
      </x:c>
      <x:c r="O9" s="477" t="n">
        <x:f>COUNTIFS('Collections'!$D$6:$D$221,C9,'Collections'!$G$6:$G$221,"Growth")</x:f>
        <x:v>10</x:v>
      </x:c>
      <x:c r="P9" s="18" t="n">
        <x:f>E9-O9</x:f>
        <x:v>0</x:v>
      </x:c>
      <x:c r="Q9" s="477" t="n">
        <x:f>'Summary'!$J$21</x:f>
        <x:v>10</x:v>
      </x:c>
      <x:c r="R9" s="477" t="n">
        <x:f>'Summary'!$J$22</x:f>
        <x:v>100</x:v>
      </x:c>
      <x:c r="S9" s="12" t="n">
        <x:f>N9/E9</x:f>
        <x:v>1.9999999999999993</x:v>
      </x:c>
      <x:c r="T9" s="60" t="n">
        <x:f>E9*('Summary'!$J$11+'Summary'!$J$12*'Summary'!$J$24)</x:f>
        <x:v>1.2000000000000002</x:v>
      </x:c>
    </x:row>
    <x:row r="10" ht="25" customHeight="1">
      <x:c r="C10" s="32" t="n">
        <x:v>5</x:v>
      </x:c>
      <x:c r="D10" s="32" t="str">
        <x:v>Olive &amp; Dried Moss</x:v>
      </x:c>
      <x:c r="E10" s="474" t="n">
        <x:v>10</x:v>
      </x:c>
      <x:c r="F10" s="475" t="n">
        <x:f>'Summary'!$J$20</x:f>
        <x:v>1000</x:v>
      </x:c>
      <x:c r="G10" s="35" t="n">
        <x:f>'Summary'!$J$6</x:f>
        <x:v>0.01</x:v>
      </x:c>
      <x:c r="H10" s="36" t="n">
        <x:f>'Summary'!$J$7</x:f>
        <x:v>0.4</x:v>
      </x:c>
      <x:c r="I10" s="36" t="n">
        <x:f>'Summary'!$J$8</x:f>
        <x:v>0.2</x:v>
      </x:c>
      <x:c r="J10" s="478" t="n">
        <x:f>E10*F10</x:f>
        <x:v>10000</x:v>
      </x:c>
      <x:c r="K10" s="37" t="n">
        <x:f>J10*G10</x:f>
        <x:v>100</x:v>
      </x:c>
      <x:c r="L10" s="37" t="n">
        <x:f>K10*SUM(H10:I10)</x:f>
        <x:v>60.00000000000001</x:v>
      </x:c>
      <x:c r="M10" s="35" t="n">
        <x:f>SUMIFS('Collections'!$M$6:$M$221,'Collections'!$D$6:$D$221,C10)</x:f>
        <x:v>12</x:v>
      </x:c>
      <x:c r="N10" s="37" t="n">
        <x:f>K10-L10-M10</x:f>
        <x:v>27.999999999999993</x:v>
      </x:c>
      <x:c r="O10" s="475" t="n">
        <x:f>COUNTIFS('Collections'!$D$6:$D$221,C10,'Collections'!$G$6:$G$221,"Growth")</x:f>
        <x:v>2</x:v>
      </x:c>
      <x:c r="P10" s="478" t="n">
        <x:f>E10-O10</x:f>
        <x:v>8</x:v>
      </x:c>
      <x:c r="Q10" s="475" t="n">
        <x:f>'Summary'!$J$21</x:f>
        <x:v>10</x:v>
      </x:c>
      <x:c r="R10" s="475" t="n">
        <x:f>'Summary'!$J$22</x:f>
        <x:v>100</x:v>
      </x:c>
      <x:c r="S10" s="37" t="n">
        <x:f>N10/E10</x:f>
        <x:v>2.7999999999999994</x:v>
      </x:c>
      <x:c r="T10" s="35" t="n">
        <x:f>E10*('Summary'!$J$11+'Summary'!$J$12*'Summary'!$J$24)</x:f>
        <x:v>1.2000000000000002</x:v>
      </x:c>
    </x:row>
    <x:row r="11" ht="25" customHeight="1">
      <x:c r="C11" s="2" t="n">
        <x:v>6</x:v>
      </x:c>
      <x:c r="D11" s="2" t="str">
        <x:v>Vivid Lime &amp; Chartreuse</x:v>
      </x:c>
      <x:c r="E11" s="476" t="n">
        <x:v>10</x:v>
      </x:c>
      <x:c r="F11" s="477" t="n">
        <x:f>'Summary'!$J$20</x:f>
        <x:v>1000</x:v>
      </x:c>
      <x:c r="G11" s="60" t="n">
        <x:f>'Summary'!$J$6</x:f>
        <x:v>0.01</x:v>
      </x:c>
      <x:c r="H11" s="61" t="n">
        <x:f>'Summary'!$J$7</x:f>
        <x:v>0.4</x:v>
      </x:c>
      <x:c r="I11" s="61" t="n">
        <x:f>'Summary'!$J$8</x:f>
        <x:v>0.2</x:v>
      </x:c>
      <x:c r="J11" s="18" t="n">
        <x:f>E11*F11</x:f>
        <x:v>10000</x:v>
      </x:c>
      <x:c r="K11" s="12" t="n">
        <x:f>J11*G11</x:f>
        <x:v>100</x:v>
      </x:c>
      <x:c r="L11" s="12" t="n">
        <x:f>K11*SUM(H11:I11)</x:f>
        <x:v>60.00000000000001</x:v>
      </x:c>
      <x:c r="M11" s="60" t="n">
        <x:f>SUMIFS('Collections'!$M$6:$M$221,'Collections'!$D$6:$D$221,C11)</x:f>
        <x:v>12</x:v>
      </x:c>
      <x:c r="N11" s="12" t="n">
        <x:f>K11-L11-M11</x:f>
        <x:v>27.999999999999993</x:v>
      </x:c>
      <x:c r="O11" s="477" t="n">
        <x:f>COUNTIFS('Collections'!$D$6:$D$221,C11,'Collections'!$G$6:$G$221,"Growth")</x:f>
        <x:v>2</x:v>
      </x:c>
      <x:c r="P11" s="18" t="n">
        <x:f>E11-O11</x:f>
        <x:v>8</x:v>
      </x:c>
      <x:c r="Q11" s="477" t="n">
        <x:f>'Summary'!$J$21</x:f>
        <x:v>10</x:v>
      </x:c>
      <x:c r="R11" s="477" t="n">
        <x:f>'Summary'!$J$22</x:f>
        <x:v>100</x:v>
      </x:c>
      <x:c r="S11" s="12" t="n">
        <x:f>N11/E11</x:f>
        <x:v>2.7999999999999994</x:v>
      </x:c>
      <x:c r="T11" s="60" t="n">
        <x:f>E11*('Summary'!$J$11+'Summary'!$J$12*'Summary'!$J$24)</x:f>
        <x:v>1.2000000000000002</x:v>
      </x:c>
    </x:row>
    <x:row r="12" ht="25" customHeight="1">
      <x:c r="C12" s="32" t="n">
        <x:v>7</x:v>
      </x:c>
      <x:c r="D12" s="32" t="str">
        <x:v>Spring Foliage &amp; Meadow</x:v>
      </x:c>
      <x:c r="E12" s="474" t="n">
        <x:v>10</x:v>
      </x:c>
      <x:c r="F12" s="475" t="n">
        <x:f>'Summary'!$J$20</x:f>
        <x:v>1000</x:v>
      </x:c>
      <x:c r="G12" s="35" t="n">
        <x:f>'Summary'!$J$6</x:f>
        <x:v>0.01</x:v>
      </x:c>
      <x:c r="H12" s="36" t="n">
        <x:f>'Summary'!$J$7</x:f>
        <x:v>0.4</x:v>
      </x:c>
      <x:c r="I12" s="36" t="n">
        <x:f>'Summary'!$J$8</x:f>
        <x:v>0.2</x:v>
      </x:c>
      <x:c r="J12" s="478" t="n">
        <x:f>E12*F12</x:f>
        <x:v>10000</x:v>
      </x:c>
      <x:c r="K12" s="37" t="n">
        <x:f>J12*G12</x:f>
        <x:v>100</x:v>
      </x:c>
      <x:c r="L12" s="37" t="n">
        <x:f>K12*SUM(H12:I12)</x:f>
        <x:v>60.00000000000001</x:v>
      </x:c>
      <x:c r="M12" s="35" t="n">
        <x:f>SUMIFS('Collections'!$M$6:$M$221,'Collections'!$D$6:$D$221,C12)</x:f>
        <x:v>12</x:v>
      </x:c>
      <x:c r="N12" s="37" t="n">
        <x:f>K12-L12-M12</x:f>
        <x:v>27.999999999999993</x:v>
      </x:c>
      <x:c r="O12" s="475" t="n">
        <x:f>COUNTIFS('Collections'!$D$6:$D$221,C12,'Collections'!$G$6:$G$221,"Growth")</x:f>
        <x:v>2</x:v>
      </x:c>
      <x:c r="P12" s="478" t="n">
        <x:f>E12-O12</x:f>
        <x:v>8</x:v>
      </x:c>
      <x:c r="Q12" s="475" t="n">
        <x:f>'Summary'!$J$21</x:f>
        <x:v>10</x:v>
      </x:c>
      <x:c r="R12" s="475" t="n">
        <x:f>'Summary'!$J$22</x:f>
        <x:v>100</x:v>
      </x:c>
      <x:c r="S12" s="37" t="n">
        <x:f>N12/E12</x:f>
        <x:v>2.7999999999999994</x:v>
      </x:c>
      <x:c r="T12" s="35" t="n">
        <x:f>E12*('Summary'!$J$11+'Summary'!$J$12*'Summary'!$J$24)</x:f>
        <x:v>1.2000000000000002</x:v>
      </x:c>
    </x:row>
    <x:row r="13" ht="25" customHeight="1">
      <x:c r="C13" s="2" t="n">
        <x:v>8</x:v>
      </x:c>
      <x:c r="D13" s="2" t="str">
        <x:v>Deep Forest &amp; Pine</x:v>
      </x:c>
      <x:c r="E13" s="476" t="n">
        <x:v>10</x:v>
      </x:c>
      <x:c r="F13" s="477" t="n">
        <x:f>'Summary'!$J$20</x:f>
        <x:v>1000</x:v>
      </x:c>
      <x:c r="G13" s="60" t="n">
        <x:f>'Summary'!$J$6</x:f>
        <x:v>0.01</x:v>
      </x:c>
      <x:c r="H13" s="61" t="n">
        <x:f>'Summary'!$J$7</x:f>
        <x:v>0.4</x:v>
      </x:c>
      <x:c r="I13" s="61" t="n">
        <x:f>'Summary'!$J$8</x:f>
        <x:v>0.2</x:v>
      </x:c>
      <x:c r="J13" s="18" t="n">
        <x:f>E13*F13</x:f>
        <x:v>10000</x:v>
      </x:c>
      <x:c r="K13" s="12" t="n">
        <x:f>J13*G13</x:f>
        <x:v>100</x:v>
      </x:c>
      <x:c r="L13" s="12" t="n">
        <x:f>K13*SUM(H13:I13)</x:f>
        <x:v>60.00000000000001</x:v>
      </x:c>
      <x:c r="M13" s="60" t="n">
        <x:f>SUMIFS('Collections'!$M$6:$M$221,'Collections'!$D$6:$D$221,C13)</x:f>
        <x:v>12</x:v>
      </x:c>
      <x:c r="N13" s="12" t="n">
        <x:f>K13-L13-M13</x:f>
        <x:v>27.999999999999993</x:v>
      </x:c>
      <x:c r="O13" s="477" t="n">
        <x:f>COUNTIFS('Collections'!$D$6:$D$221,C13,'Collections'!$G$6:$G$221,"Growth")</x:f>
        <x:v>2</x:v>
      </x:c>
      <x:c r="P13" s="18" t="n">
        <x:f>E13-O13</x:f>
        <x:v>8</x:v>
      </x:c>
      <x:c r="Q13" s="477" t="n">
        <x:f>'Summary'!$J$21</x:f>
        <x:v>10</x:v>
      </x:c>
      <x:c r="R13" s="477" t="n">
        <x:f>'Summary'!$J$22</x:f>
        <x:v>100</x:v>
      </x:c>
      <x:c r="S13" s="12" t="n">
        <x:f>N13/E13</x:f>
        <x:v>2.7999999999999994</x:v>
      </x:c>
      <x:c r="T13" s="60" t="n">
        <x:f>E13*('Summary'!$J$11+'Summary'!$J$12*'Summary'!$J$24)</x:f>
        <x:v>1.2000000000000002</x:v>
      </x:c>
    </x:row>
    <x:row r="14" ht="25" customHeight="1">
      <x:c r="C14" s="32" t="n">
        <x:v>9</x:v>
      </x:c>
      <x:c r="D14" s="32" t="str">
        <x:v>Spearmint &amp; Crisp Jade</x:v>
      </x:c>
      <x:c r="E14" s="474" t="n">
        <x:v>10</x:v>
      </x:c>
      <x:c r="F14" s="475" t="n">
        <x:f>'Summary'!$J$20</x:f>
        <x:v>1000</x:v>
      </x:c>
      <x:c r="G14" s="35" t="n">
        <x:f>'Summary'!$J$6</x:f>
        <x:v>0.01</x:v>
      </x:c>
      <x:c r="H14" s="36" t="n">
        <x:f>'Summary'!$J$7</x:f>
        <x:v>0.4</x:v>
      </x:c>
      <x:c r="I14" s="36" t="n">
        <x:f>'Summary'!$J$8</x:f>
        <x:v>0.2</x:v>
      </x:c>
      <x:c r="J14" s="478" t="n">
        <x:f>E14*F14</x:f>
        <x:v>10000</x:v>
      </x:c>
      <x:c r="K14" s="37" t="n">
        <x:f>J14*G14</x:f>
        <x:v>100</x:v>
      </x:c>
      <x:c r="L14" s="37" t="n">
        <x:f>K14*SUM(H14:I14)</x:f>
        <x:v>60.00000000000001</x:v>
      </x:c>
      <x:c r="M14" s="35" t="n">
        <x:f>SUMIFS('Collections'!$M$6:$M$221,'Collections'!$D$6:$D$221,C14)</x:f>
        <x:v>12</x:v>
      </x:c>
      <x:c r="N14" s="37" t="n">
        <x:f>K14-L14-M14</x:f>
        <x:v>27.999999999999993</x:v>
      </x:c>
      <x:c r="O14" s="475" t="n">
        <x:f>COUNTIFS('Collections'!$D$6:$D$221,C14,'Collections'!$G$6:$G$221,"Growth")</x:f>
        <x:v>2</x:v>
      </x:c>
      <x:c r="P14" s="478" t="n">
        <x:f>E14-O14</x:f>
        <x:v>8</x:v>
      </x:c>
      <x:c r="Q14" s="475" t="n">
        <x:f>'Summary'!$J$21</x:f>
        <x:v>10</x:v>
      </x:c>
      <x:c r="R14" s="475" t="n">
        <x:f>'Summary'!$J$22</x:f>
        <x:v>100</x:v>
      </x:c>
      <x:c r="S14" s="37" t="n">
        <x:f>N14/E14</x:f>
        <x:v>2.7999999999999994</x:v>
      </x:c>
      <x:c r="T14" s="35" t="n">
        <x:f>E14*('Summary'!$J$11+'Summary'!$J$12*'Summary'!$J$24)</x:f>
        <x:v>1.2000000000000002</x:v>
      </x:c>
    </x:row>
    <x:row r="15" ht="25" customHeight="1">
      <x:c r="C15" s="2" t="n">
        <x:v>10</x:v>
      </x:c>
      <x:c r="D15" s="2" t="str">
        <x:v>Abyssal Waters &amp; Dark Teal</x:v>
      </x:c>
      <x:c r="E15" s="476" t="n">
        <x:v>10</x:v>
      </x:c>
      <x:c r="F15" s="477" t="n">
        <x:f>'Summary'!$J$20</x:f>
        <x:v>1000</x:v>
      </x:c>
      <x:c r="G15" s="60" t="n">
        <x:f>'Summary'!$J$6</x:f>
        <x:v>0.01</x:v>
      </x:c>
      <x:c r="H15" s="61" t="n">
        <x:f>'Summary'!$J$7</x:f>
        <x:v>0.4</x:v>
      </x:c>
      <x:c r="I15" s="61" t="n">
        <x:f>'Summary'!$J$8</x:f>
        <x:v>0.2</x:v>
      </x:c>
      <x:c r="J15" s="18" t="n">
        <x:f>E15*F15</x:f>
        <x:v>10000</x:v>
      </x:c>
      <x:c r="K15" s="12" t="n">
        <x:f>J15*G15</x:f>
        <x:v>100</x:v>
      </x:c>
      <x:c r="L15" s="12" t="n">
        <x:f>K15*SUM(H15:I15)</x:f>
        <x:v>60.00000000000001</x:v>
      </x:c>
      <x:c r="M15" s="60" t="n">
        <x:f>SUMIFS('Collections'!$M$6:$M$221,'Collections'!$D$6:$D$221,C15)</x:f>
        <x:v>12</x:v>
      </x:c>
      <x:c r="N15" s="12" t="n">
        <x:f>K15-L15-M15</x:f>
        <x:v>27.999999999999993</x:v>
      </x:c>
      <x:c r="O15" s="477" t="n">
        <x:f>COUNTIFS('Collections'!$D$6:$D$221,C15,'Collections'!$G$6:$G$221,"Growth")</x:f>
        <x:v>2</x:v>
      </x:c>
      <x:c r="P15" s="18" t="n">
        <x:f>E15-O15</x:f>
        <x:v>8</x:v>
      </x:c>
      <x:c r="Q15" s="477" t="n">
        <x:f>'Summary'!$J$21</x:f>
        <x:v>10</x:v>
      </x:c>
      <x:c r="R15" s="477" t="n">
        <x:f>'Summary'!$J$22</x:f>
        <x:v>100</x:v>
      </x:c>
      <x:c r="S15" s="12" t="n">
        <x:f>N15/E15</x:f>
        <x:v>2.7999999999999994</x:v>
      </x:c>
      <x:c r="T15" s="60" t="n">
        <x:f>E15*('Summary'!$J$11+'Summary'!$J$12*'Summary'!$J$24)</x:f>
        <x:v>1.2000000000000002</x:v>
      </x:c>
    </x:row>
    <x:row r="16" ht="25" customHeight="1">
      <x:c r="C16" s="32" t="n">
        <x:v>11</x:v>
      </x:c>
      <x:c r="D16" s="32" t="str">
        <x:v>Electric Cyan &amp; Turquoise</x:v>
      </x:c>
      <x:c r="E16" s="474" t="n">
        <x:v>10</x:v>
      </x:c>
      <x:c r="F16" s="475" t="n">
        <x:f>'Summary'!$J$20</x:f>
        <x:v>1000</x:v>
      </x:c>
      <x:c r="G16" s="35" t="n">
        <x:f>'Summary'!$J$6</x:f>
        <x:v>0.01</x:v>
      </x:c>
      <x:c r="H16" s="36" t="n">
        <x:f>'Summary'!$J$7</x:f>
        <x:v>0.4</x:v>
      </x:c>
      <x:c r="I16" s="36" t="n">
        <x:f>'Summary'!$J$8</x:f>
        <x:v>0.2</x:v>
      </x:c>
      <x:c r="J16" s="478" t="n">
        <x:f>E16*F16</x:f>
        <x:v>10000</x:v>
      </x:c>
      <x:c r="K16" s="37" t="n">
        <x:f>J16*G16</x:f>
        <x:v>100</x:v>
      </x:c>
      <x:c r="L16" s="37" t="n">
        <x:f>K16*SUM(H16:I16)</x:f>
        <x:v>60.00000000000001</x:v>
      </x:c>
      <x:c r="M16" s="35" t="n">
        <x:f>SUMIFS('Collections'!$M$6:$M$221,'Collections'!$D$6:$D$221,C16)</x:f>
        <x:v>12</x:v>
      </x:c>
      <x:c r="N16" s="37" t="n">
        <x:f>K16-L16-M16</x:f>
        <x:v>27.999999999999993</x:v>
      </x:c>
      <x:c r="O16" s="475" t="n">
        <x:f>COUNTIFS('Collections'!$D$6:$D$221,C16,'Collections'!$G$6:$G$221,"Growth")</x:f>
        <x:v>2</x:v>
      </x:c>
      <x:c r="P16" s="478" t="n">
        <x:f>E16-O16</x:f>
        <x:v>8</x:v>
      </x:c>
      <x:c r="Q16" s="475" t="n">
        <x:f>'Summary'!$J$21</x:f>
        <x:v>10</x:v>
      </x:c>
      <x:c r="R16" s="475" t="n">
        <x:f>'Summary'!$J$22</x:f>
        <x:v>100</x:v>
      </x:c>
      <x:c r="S16" s="37" t="n">
        <x:f>N16/E16</x:f>
        <x:v>2.7999999999999994</x:v>
      </x:c>
      <x:c r="T16" s="35" t="n">
        <x:f>E16*('Summary'!$J$11+'Summary'!$J$12*'Summary'!$J$24)</x:f>
        <x:v>1.2000000000000002</x:v>
      </x:c>
    </x:row>
    <x:row r="17" ht="25" customHeight="1">
      <x:c r="C17" s="2" t="n">
        <x:v>12</x:v>
      </x:c>
      <x:c r="D17" s="2" t="str">
        <x:v>Glacier &amp; Pure Aquamarine</x:v>
      </x:c>
      <x:c r="E17" s="476" t="n">
        <x:v>10</x:v>
      </x:c>
      <x:c r="F17" s="477" t="n">
        <x:f>'Summary'!$J$20</x:f>
        <x:v>1000</x:v>
      </x:c>
      <x:c r="G17" s="60" t="n">
        <x:f>'Summary'!$J$6</x:f>
        <x:v>0.01</x:v>
      </x:c>
      <x:c r="H17" s="61" t="n">
        <x:f>'Summary'!$J$7</x:f>
        <x:v>0.4</x:v>
      </x:c>
      <x:c r="I17" s="61" t="n">
        <x:f>'Summary'!$J$8</x:f>
        <x:v>0.2</x:v>
      </x:c>
      <x:c r="J17" s="18" t="n">
        <x:f>E17*F17</x:f>
        <x:v>10000</x:v>
      </x:c>
      <x:c r="K17" s="12" t="n">
        <x:f>J17*G17</x:f>
        <x:v>100</x:v>
      </x:c>
      <x:c r="L17" s="12" t="n">
        <x:f>K17*SUM(H17:I17)</x:f>
        <x:v>60.00000000000001</x:v>
      </x:c>
      <x:c r="M17" s="60" t="n">
        <x:f>SUMIFS('Collections'!$M$6:$M$221,'Collections'!$D$6:$D$221,C17)</x:f>
        <x:v>12</x:v>
      </x:c>
      <x:c r="N17" s="12" t="n">
        <x:f>K17-L17-M17</x:f>
        <x:v>27.999999999999993</x:v>
      </x:c>
      <x:c r="O17" s="477" t="n">
        <x:f>COUNTIFS('Collections'!$D$6:$D$221,C17,'Collections'!$G$6:$G$221,"Growth")</x:f>
        <x:v>2</x:v>
      </x:c>
      <x:c r="P17" s="18" t="n">
        <x:f>E17-O17</x:f>
        <x:v>8</x:v>
      </x:c>
      <x:c r="Q17" s="477" t="n">
        <x:f>'Summary'!$J$21</x:f>
        <x:v>10</x:v>
      </x:c>
      <x:c r="R17" s="477" t="n">
        <x:f>'Summary'!$J$22</x:f>
        <x:v>100</x:v>
      </x:c>
      <x:c r="S17" s="12" t="n">
        <x:f>N17/E17</x:f>
        <x:v>2.7999999999999994</x:v>
      </x:c>
      <x:c r="T17" s="60" t="n">
        <x:f>E17*('Summary'!$J$11+'Summary'!$J$12*'Summary'!$J$24)</x:f>
        <x:v>1.2000000000000002</x:v>
      </x:c>
    </x:row>
    <x:row r="18" ht="25" customHeight="1">
      <x:c r="C18" s="32" t="n">
        <x:v>13</x:v>
      </x:c>
      <x:c r="D18" s="32" t="str">
        <x:v>Cerulean &amp; Sky Blue</x:v>
      </x:c>
      <x:c r="E18" s="474" t="n">
        <x:v>10</x:v>
      </x:c>
      <x:c r="F18" s="475" t="n">
        <x:f>'Summary'!$J$20</x:f>
        <x:v>1000</x:v>
      </x:c>
      <x:c r="G18" s="35" t="n">
        <x:f>'Summary'!$J$6</x:f>
        <x:v>0.01</x:v>
      </x:c>
      <x:c r="H18" s="36" t="n">
        <x:f>'Summary'!$J$7</x:f>
        <x:v>0.4</x:v>
      </x:c>
      <x:c r="I18" s="36" t="n">
        <x:f>'Summary'!$J$8</x:f>
        <x:v>0.2</x:v>
      </x:c>
      <x:c r="J18" s="478" t="n">
        <x:f>E18*F18</x:f>
        <x:v>10000</x:v>
      </x:c>
      <x:c r="K18" s="37" t="n">
        <x:f>J18*G18</x:f>
        <x:v>100</x:v>
      </x:c>
      <x:c r="L18" s="37" t="n">
        <x:f>K18*SUM(H18:I18)</x:f>
        <x:v>60.00000000000001</x:v>
      </x:c>
      <x:c r="M18" s="35" t="n">
        <x:f>SUMIFS('Collections'!$M$6:$M$221,'Collections'!$D$6:$D$221,C18)</x:f>
        <x:v>12</x:v>
      </x:c>
      <x:c r="N18" s="37" t="n">
        <x:f>K18-L18-M18</x:f>
        <x:v>27.999999999999993</x:v>
      </x:c>
      <x:c r="O18" s="475" t="n">
        <x:f>COUNTIFS('Collections'!$D$6:$D$221,C18,'Collections'!$G$6:$G$221,"Growth")</x:f>
        <x:v>2</x:v>
      </x:c>
      <x:c r="P18" s="478" t="n">
        <x:f>E18-O18</x:f>
        <x:v>8</x:v>
      </x:c>
      <x:c r="Q18" s="475" t="n">
        <x:f>'Summary'!$J$21</x:f>
        <x:v>10</x:v>
      </x:c>
      <x:c r="R18" s="475" t="n">
        <x:f>'Summary'!$J$22</x:f>
        <x:v>100</x:v>
      </x:c>
      <x:c r="S18" s="37" t="n">
        <x:f>N18/E18</x:f>
        <x:v>2.7999999999999994</x:v>
      </x:c>
      <x:c r="T18" s="35" t="n">
        <x:f>E18*('Summary'!$J$11+'Summary'!$J$12*'Summary'!$J$24)</x:f>
        <x:v>1.2000000000000002</x:v>
      </x:c>
    </x:row>
    <x:row r="19" ht="25" customHeight="1">
      <x:c r="C19" s="2" t="n">
        <x:v>14</x:v>
      </x:c>
      <x:c r="D19" s="2" t="str">
        <x:v>Cobalt &amp; Deep Azure</x:v>
      </x:c>
      <x:c r="E19" s="476" t="n">
        <x:v>10</x:v>
      </x:c>
      <x:c r="F19" s="477" t="n">
        <x:f>'Summary'!$J$20</x:f>
        <x:v>1000</x:v>
      </x:c>
      <x:c r="G19" s="60" t="n">
        <x:f>'Summary'!$J$6</x:f>
        <x:v>0.01</x:v>
      </x:c>
      <x:c r="H19" s="61" t="n">
        <x:f>'Summary'!$J$7</x:f>
        <x:v>0.4</x:v>
      </x:c>
      <x:c r="I19" s="61" t="n">
        <x:f>'Summary'!$J$8</x:f>
        <x:v>0.2</x:v>
      </x:c>
      <x:c r="J19" s="18" t="n">
        <x:f>E19*F19</x:f>
        <x:v>10000</x:v>
      </x:c>
      <x:c r="K19" s="12" t="n">
        <x:f>J19*G19</x:f>
        <x:v>100</x:v>
      </x:c>
      <x:c r="L19" s="12" t="n">
        <x:f>K19*SUM(H19:I19)</x:f>
        <x:v>60.00000000000001</x:v>
      </x:c>
      <x:c r="M19" s="60" t="n">
        <x:f>SUMIFS('Collections'!$M$6:$M$221,'Collections'!$D$6:$D$221,C19)</x:f>
        <x:v>12</x:v>
      </x:c>
      <x:c r="N19" s="12" t="n">
        <x:f>K19-L19-M19</x:f>
        <x:v>27.999999999999993</x:v>
      </x:c>
      <x:c r="O19" s="477" t="n">
        <x:f>COUNTIFS('Collections'!$D$6:$D$221,C19,'Collections'!$G$6:$G$221,"Growth")</x:f>
        <x:v>2</x:v>
      </x:c>
      <x:c r="P19" s="18" t="n">
        <x:f>E19-O19</x:f>
        <x:v>8</x:v>
      </x:c>
      <x:c r="Q19" s="477" t="n">
        <x:f>'Summary'!$J$21</x:f>
        <x:v>10</x:v>
      </x:c>
      <x:c r="R19" s="477" t="n">
        <x:f>'Summary'!$J$22</x:f>
        <x:v>100</x:v>
      </x:c>
      <x:c r="S19" s="12" t="n">
        <x:f>N19/E19</x:f>
        <x:v>2.7999999999999994</x:v>
      </x:c>
      <x:c r="T19" s="60" t="n">
        <x:f>E19*('Summary'!$J$11+'Summary'!$J$12*'Summary'!$J$24)</x:f>
        <x:v>1.2000000000000002</x:v>
      </x:c>
    </x:row>
    <x:row r="20" ht="25" customHeight="1">
      <x:c r="C20" s="32" t="n">
        <x:v>15</x:v>
      </x:c>
      <x:c r="D20" s="32" t="str">
        <x:v>Midnight Navy &amp; Steel</x:v>
      </x:c>
      <x:c r="E20" s="474" t="n">
        <x:v>10</x:v>
      </x:c>
      <x:c r="F20" s="475" t="n">
        <x:f>'Summary'!$J$20</x:f>
        <x:v>1000</x:v>
      </x:c>
      <x:c r="G20" s="35" t="n">
        <x:f>'Summary'!$J$6</x:f>
        <x:v>0.01</x:v>
      </x:c>
      <x:c r="H20" s="36" t="n">
        <x:f>'Summary'!$J$7</x:f>
        <x:v>0.4</x:v>
      </x:c>
      <x:c r="I20" s="36" t="n">
        <x:f>'Summary'!$J$8</x:f>
        <x:v>0.2</x:v>
      </x:c>
      <x:c r="J20" s="478" t="n">
        <x:f>E20*F20</x:f>
        <x:v>10000</x:v>
      </x:c>
      <x:c r="K20" s="37" t="n">
        <x:f>J20*G20</x:f>
        <x:v>100</x:v>
      </x:c>
      <x:c r="L20" s="37" t="n">
        <x:f>K20*SUM(H20:I20)</x:f>
        <x:v>60.00000000000001</x:v>
      </x:c>
      <x:c r="M20" s="35" t="n">
        <x:f>SUMIFS('Collections'!$M$6:$M$221,'Collections'!$D$6:$D$221,C20)</x:f>
        <x:v>12</x:v>
      </x:c>
      <x:c r="N20" s="37" t="n">
        <x:f>K20-L20-M20</x:f>
        <x:v>27.999999999999993</x:v>
      </x:c>
      <x:c r="O20" s="475" t="n">
        <x:f>COUNTIFS('Collections'!$D$6:$D$221,C20,'Collections'!$G$6:$G$221,"Growth")</x:f>
        <x:v>2</x:v>
      </x:c>
      <x:c r="P20" s="478" t="n">
        <x:f>E20-O20</x:f>
        <x:v>8</x:v>
      </x:c>
      <x:c r="Q20" s="475" t="n">
        <x:f>'Summary'!$J$21</x:f>
        <x:v>10</x:v>
      </x:c>
      <x:c r="R20" s="475" t="n">
        <x:f>'Summary'!$J$22</x:f>
        <x:v>100</x:v>
      </x:c>
      <x:c r="S20" s="37" t="n">
        <x:f>N20/E20</x:f>
        <x:v>2.7999999999999994</x:v>
      </x:c>
      <x:c r="T20" s="35" t="n">
        <x:f>E20*('Summary'!$J$11+'Summary'!$J$12*'Summary'!$J$24)</x:f>
        <x:v>1.2000000000000002</x:v>
      </x:c>
    </x:row>
    <x:row r="21" ht="25" customHeight="1">
      <x:c r="C21" s="2" t="n">
        <x:v>16</x:v>
      </x:c>
      <x:c r="D21" s="2" t="str">
        <x:v>Royal Violet &amp; Indigo</x:v>
      </x:c>
      <x:c r="E21" s="476" t="n">
        <x:v>10</x:v>
      </x:c>
      <x:c r="F21" s="477" t="n">
        <x:f>'Summary'!$J$20</x:f>
        <x:v>1000</x:v>
      </x:c>
      <x:c r="G21" s="60" t="n">
        <x:f>'Summary'!$J$6</x:f>
        <x:v>0.01</x:v>
      </x:c>
      <x:c r="H21" s="61" t="n">
        <x:f>'Summary'!$J$7</x:f>
        <x:v>0.4</x:v>
      </x:c>
      <x:c r="I21" s="61" t="n">
        <x:f>'Summary'!$J$8</x:f>
        <x:v>0.2</x:v>
      </x:c>
      <x:c r="J21" s="18" t="n">
        <x:f>E21*F21</x:f>
        <x:v>10000</x:v>
      </x:c>
      <x:c r="K21" s="12" t="n">
        <x:f>J21*G21</x:f>
        <x:v>100</x:v>
      </x:c>
      <x:c r="L21" s="12" t="n">
        <x:f>K21*SUM(H21:I21)</x:f>
        <x:v>60.00000000000001</x:v>
      </x:c>
      <x:c r="M21" s="60" t="n">
        <x:f>SUMIFS('Collections'!$M$6:$M$221,'Collections'!$D$6:$D$221,C21)</x:f>
        <x:v>12</x:v>
      </x:c>
      <x:c r="N21" s="12" t="n">
        <x:f>K21-L21-M21</x:f>
        <x:v>27.999999999999993</x:v>
      </x:c>
      <x:c r="O21" s="477" t="n">
        <x:f>COUNTIFS('Collections'!$D$6:$D$221,C21,'Collections'!$G$6:$G$221,"Growth")</x:f>
        <x:v>2</x:v>
      </x:c>
      <x:c r="P21" s="18" t="n">
        <x:f>E21-O21</x:f>
        <x:v>8</x:v>
      </x:c>
      <x:c r="Q21" s="477" t="n">
        <x:f>'Summary'!$J$21</x:f>
        <x:v>10</x:v>
      </x:c>
      <x:c r="R21" s="477" t="n">
        <x:f>'Summary'!$J$22</x:f>
        <x:v>100</x:v>
      </x:c>
      <x:c r="S21" s="12" t="n">
        <x:f>N21/E21</x:f>
        <x:v>2.7999999999999994</x:v>
      </x:c>
      <x:c r="T21" s="60" t="n">
        <x:f>E21*('Summary'!$J$11+'Summary'!$J$12*'Summary'!$J$24)</x:f>
        <x:v>1.2000000000000002</x:v>
      </x:c>
    </x:row>
    <x:row r="22" ht="25" customHeight="1">
      <x:c r="C22" s="32" t="n">
        <x:v>17</x:v>
      </x:c>
      <x:c r="D22" s="32" t="str">
        <x:v>Imperial Amethyst &amp; Plum</x:v>
      </x:c>
      <x:c r="E22" s="474" t="n">
        <x:v>10</x:v>
      </x:c>
      <x:c r="F22" s="475" t="n">
        <x:f>'Summary'!$J$20</x:f>
        <x:v>1000</x:v>
      </x:c>
      <x:c r="G22" s="35" t="n">
        <x:f>'Summary'!$J$6</x:f>
        <x:v>0.01</x:v>
      </x:c>
      <x:c r="H22" s="36" t="n">
        <x:f>'Summary'!$J$7</x:f>
        <x:v>0.4</x:v>
      </x:c>
      <x:c r="I22" s="36" t="n">
        <x:f>'Summary'!$J$8</x:f>
        <x:v>0.2</x:v>
      </x:c>
      <x:c r="J22" s="478" t="n">
        <x:f>E22*F22</x:f>
        <x:v>10000</x:v>
      </x:c>
      <x:c r="K22" s="37" t="n">
        <x:f>J22*G22</x:f>
        <x:v>100</x:v>
      </x:c>
      <x:c r="L22" s="37" t="n">
        <x:f>K22*SUM(H22:I22)</x:f>
        <x:v>60.00000000000001</x:v>
      </x:c>
      <x:c r="M22" s="35" t="n">
        <x:f>SUMIFS('Collections'!$M$6:$M$221,'Collections'!$D$6:$D$221,C22)</x:f>
        <x:v>12</x:v>
      </x:c>
      <x:c r="N22" s="37" t="n">
        <x:f>K22-L22-M22</x:f>
        <x:v>27.999999999999993</x:v>
      </x:c>
      <x:c r="O22" s="475" t="n">
        <x:f>COUNTIFS('Collections'!$D$6:$D$221,C22,'Collections'!$G$6:$G$221,"Growth")</x:f>
        <x:v>2</x:v>
      </x:c>
      <x:c r="P22" s="478" t="n">
        <x:f>E22-O22</x:f>
        <x:v>8</x:v>
      </x:c>
      <x:c r="Q22" s="475" t="n">
        <x:f>'Summary'!$J$21</x:f>
        <x:v>10</x:v>
      </x:c>
      <x:c r="R22" s="475" t="n">
        <x:f>'Summary'!$J$22</x:f>
        <x:v>100</x:v>
      </x:c>
      <x:c r="S22" s="37" t="n">
        <x:f>N22/E22</x:f>
        <x:v>2.7999999999999994</x:v>
      </x:c>
      <x:c r="T22" s="35" t="n">
        <x:f>E22*('Summary'!$J$11+'Summary'!$J$12*'Summary'!$J$24)</x:f>
        <x:v>1.2000000000000002</x:v>
      </x:c>
    </x:row>
    <x:row r="23" ht="25" customHeight="1">
      <x:c r="C23" s="2" t="n">
        <x:v>18</x:v>
      </x:c>
      <x:c r="D23" s="2" t="str">
        <x:v>Orchid &amp; Wild Berry</x:v>
      </x:c>
      <x:c r="E23" s="476" t="n">
        <x:v>10</x:v>
      </x:c>
      <x:c r="F23" s="477" t="n">
        <x:f>'Summary'!$J$20</x:f>
        <x:v>1000</x:v>
      </x:c>
      <x:c r="G23" s="60" t="n">
        <x:f>'Summary'!$J$6</x:f>
        <x:v>0.01</x:v>
      </x:c>
      <x:c r="H23" s="61" t="n">
        <x:f>'Summary'!$J$7</x:f>
        <x:v>0.4</x:v>
      </x:c>
      <x:c r="I23" s="61" t="n">
        <x:f>'Summary'!$J$8</x:f>
        <x:v>0.2</x:v>
      </x:c>
      <x:c r="J23" s="18" t="n">
        <x:f>E23*F23</x:f>
        <x:v>10000</x:v>
      </x:c>
      <x:c r="K23" s="12" t="n">
        <x:f>J23*G23</x:f>
        <x:v>100</x:v>
      </x:c>
      <x:c r="L23" s="12" t="n">
        <x:f>K23*SUM(H23:I23)</x:f>
        <x:v>60.00000000000001</x:v>
      </x:c>
      <x:c r="M23" s="60" t="n">
        <x:f>SUMIFS('Collections'!$M$6:$M$221,'Collections'!$D$6:$D$221,C23)</x:f>
        <x:v>12</x:v>
      </x:c>
      <x:c r="N23" s="12" t="n">
        <x:f>K23-L23-M23</x:f>
        <x:v>27.999999999999993</x:v>
      </x:c>
      <x:c r="O23" s="477" t="n">
        <x:f>COUNTIFS('Collections'!$D$6:$D$221,C23,'Collections'!$G$6:$G$221,"Growth")</x:f>
        <x:v>2</x:v>
      </x:c>
      <x:c r="P23" s="18" t="n">
        <x:f>E23-O23</x:f>
        <x:v>8</x:v>
      </x:c>
      <x:c r="Q23" s="477" t="n">
        <x:f>'Summary'!$J$21</x:f>
        <x:v>10</x:v>
      </x:c>
      <x:c r="R23" s="477" t="n">
        <x:f>'Summary'!$J$22</x:f>
        <x:v>100</x:v>
      </x:c>
      <x:c r="S23" s="12" t="n">
        <x:f>N23/E23</x:f>
        <x:v>2.7999999999999994</x:v>
      </x:c>
      <x:c r="T23" s="60" t="n">
        <x:f>E23*('Summary'!$J$11+'Summary'!$J$12*'Summary'!$J$24)</x:f>
        <x:v>1.2000000000000002</x:v>
      </x:c>
    </x:row>
    <x:row r="24" ht="25" customHeight="1">
      <x:c r="C24" s="32" t="n">
        <x:v>19</x:v>
      </x:c>
      <x:c r="D24" s="32" t="str">
        <x:v>Vivid Fuchsia &amp; Magenta</x:v>
      </x:c>
      <x:c r="E24" s="474" t="n">
        <x:v>10</x:v>
      </x:c>
      <x:c r="F24" s="475" t="n">
        <x:f>'Summary'!$J$20</x:f>
        <x:v>1000</x:v>
      </x:c>
      <x:c r="G24" s="35" t="n">
        <x:f>'Summary'!$J$6</x:f>
        <x:v>0.01</x:v>
      </x:c>
      <x:c r="H24" s="36" t="n">
        <x:f>'Summary'!$J$7</x:f>
        <x:v>0.4</x:v>
      </x:c>
      <x:c r="I24" s="36" t="n">
        <x:f>'Summary'!$J$8</x:f>
        <x:v>0.2</x:v>
      </x:c>
      <x:c r="J24" s="478" t="n">
        <x:f>E24*F24</x:f>
        <x:v>10000</x:v>
      </x:c>
      <x:c r="K24" s="37" t="n">
        <x:f>J24*G24</x:f>
        <x:v>100</x:v>
      </x:c>
      <x:c r="L24" s="37" t="n">
        <x:f>K24*SUM(H24:I24)</x:f>
        <x:v>60.00000000000001</x:v>
      </x:c>
      <x:c r="M24" s="35" t="n">
        <x:f>SUMIFS('Collections'!$M$6:$M$221,'Collections'!$D$6:$D$221,C24)</x:f>
        <x:v>12</x:v>
      </x:c>
      <x:c r="N24" s="37" t="n">
        <x:f>K24-L24-M24</x:f>
        <x:v>27.999999999999993</x:v>
      </x:c>
      <x:c r="O24" s="475" t="n">
        <x:f>COUNTIFS('Collections'!$D$6:$D$221,C24,'Collections'!$G$6:$G$221,"Growth")</x:f>
        <x:v>2</x:v>
      </x:c>
      <x:c r="P24" s="478" t="n">
        <x:f>E24-O24</x:f>
        <x:v>8</x:v>
      </x:c>
      <x:c r="Q24" s="475" t="n">
        <x:f>'Summary'!$J$21</x:f>
        <x:v>10</x:v>
      </x:c>
      <x:c r="R24" s="475" t="n">
        <x:f>'Summary'!$J$22</x:f>
        <x:v>100</x:v>
      </x:c>
      <x:c r="S24" s="37" t="n">
        <x:f>N24/E24</x:f>
        <x:v>2.7999999999999994</x:v>
      </x:c>
      <x:c r="T24" s="35" t="n">
        <x:f>E24*('Summary'!$J$11+'Summary'!$J$12*'Summary'!$J$24)</x:f>
        <x:v>1.2000000000000002</x:v>
      </x:c>
    </x:row>
    <x:row r="25" ht="25" customHeight="1">
      <x:c r="C25" s="2" t="n">
        <x:v>20</x:v>
      </x:c>
      <x:c r="D25" s="2" t="str">
        <x:v>Bubblegum &amp; Pastel Coral</x:v>
      </x:c>
      <x:c r="E25" s="476" t="n">
        <x:v>10</x:v>
      </x:c>
      <x:c r="F25" s="477" t="n">
        <x:f>'Summary'!$J$20</x:f>
        <x:v>1000</x:v>
      </x:c>
      <x:c r="G25" s="60" t="n">
        <x:f>'Summary'!$J$6</x:f>
        <x:v>0.01</x:v>
      </x:c>
      <x:c r="H25" s="61" t="n">
        <x:f>'Summary'!$J$7</x:f>
        <x:v>0.4</x:v>
      </x:c>
      <x:c r="I25" s="61" t="n">
        <x:f>'Summary'!$J$8</x:f>
        <x:v>0.2</x:v>
      </x:c>
      <x:c r="J25" s="18" t="n">
        <x:f>E25*F25</x:f>
        <x:v>10000</x:v>
      </x:c>
      <x:c r="K25" s="12" t="n">
        <x:f>J25*G25</x:f>
        <x:v>100</x:v>
      </x:c>
      <x:c r="L25" s="12" t="n">
        <x:f>K25*SUM(H25:I25)</x:f>
        <x:v>60.00000000000001</x:v>
      </x:c>
      <x:c r="M25" s="60" t="n">
        <x:f>SUMIFS('Collections'!$M$6:$M$221,'Collections'!$D$6:$D$221,C25)</x:f>
        <x:v>12</x:v>
      </x:c>
      <x:c r="N25" s="12" t="n">
        <x:f>K25-L25-M25</x:f>
        <x:v>27.999999999999993</x:v>
      </x:c>
      <x:c r="O25" s="477" t="n">
        <x:f>COUNTIFS('Collections'!$D$6:$D$221,C25,'Collections'!$G$6:$G$221,"Growth")</x:f>
        <x:v>2</x:v>
      </x:c>
      <x:c r="P25" s="18" t="n">
        <x:f>E25-O25</x:f>
        <x:v>8</x:v>
      </x:c>
      <x:c r="Q25" s="477" t="n">
        <x:f>'Summary'!$J$21</x:f>
        <x:v>10</x:v>
      </x:c>
      <x:c r="R25" s="477" t="n">
        <x:f>'Summary'!$J$22</x:f>
        <x:v>100</x:v>
      </x:c>
      <x:c r="S25" s="12" t="n">
        <x:f>N25/E25</x:f>
        <x:v>2.7999999999999994</x:v>
      </x:c>
      <x:c r="T25" s="60" t="n">
        <x:f>E25*('Summary'!$J$11+'Summary'!$J$12*'Summary'!$J$24)</x:f>
        <x:v>1.2000000000000002</x:v>
      </x:c>
    </x:row>
    <x:row r="26" ht="25" customHeight="1">
      <x:c r="C26" s="32" t="n">
        <x:v>21</x:v>
      </x:c>
      <x:c r="D26" s="32" t="str">
        <x:v>Warm Neutral &amp; Blush Tints</x:v>
      </x:c>
      <x:c r="E26" s="474" t="n">
        <x:v>10</x:v>
      </x:c>
      <x:c r="F26" s="475" t="n">
        <x:f>'Summary'!$J$20</x:f>
        <x:v>1000</x:v>
      </x:c>
      <x:c r="G26" s="35" t="n">
        <x:f>'Summary'!$J$6</x:f>
        <x:v>0.01</x:v>
      </x:c>
      <x:c r="H26" s="36" t="n">
        <x:f>'Summary'!$J$7</x:f>
        <x:v>0.4</x:v>
      </x:c>
      <x:c r="I26" s="36" t="n">
        <x:f>'Summary'!$J$8</x:f>
        <x:v>0.2</x:v>
      </x:c>
      <x:c r="J26" s="478" t="n">
        <x:f>E26*F26</x:f>
        <x:v>10000</x:v>
      </x:c>
      <x:c r="K26" s="37" t="n">
        <x:f>J26*G26</x:f>
        <x:v>100</x:v>
      </x:c>
      <x:c r="L26" s="37" t="n">
        <x:f>K26*SUM(H26:I26)</x:f>
        <x:v>60.00000000000001</x:v>
      </x:c>
      <x:c r="M26" s="35" t="n">
        <x:f>SUMIFS('Collections'!$M$6:$M$221,'Collections'!$D$6:$D$221,C26)</x:f>
        <x:v>12</x:v>
      </x:c>
      <x:c r="N26" s="37" t="n">
        <x:f>K26-L26-M26</x:f>
        <x:v>27.999999999999993</x:v>
      </x:c>
      <x:c r="O26" s="475" t="n">
        <x:f>COUNTIFS('Collections'!$D$6:$D$221,C26,'Collections'!$G$6:$G$221,"Growth")</x:f>
        <x:v>2</x:v>
      </x:c>
      <x:c r="P26" s="478" t="n">
        <x:f>E26-O26</x:f>
        <x:v>8</x:v>
      </x:c>
      <x:c r="Q26" s="475" t="n">
        <x:f>'Summary'!$J$21</x:f>
        <x:v>10</x:v>
      </x:c>
      <x:c r="R26" s="475" t="n">
        <x:f>'Summary'!$J$22</x:f>
        <x:v>100</x:v>
      </x:c>
      <x:c r="S26" s="37" t="n">
        <x:f>N26/E26</x:f>
        <x:v>2.7999999999999994</x:v>
      </x:c>
      <x:c r="T26" s="35" t="n">
        <x:f>E26*('Summary'!$J$11+'Summary'!$J$12*'Summary'!$J$24)</x:f>
        <x:v>1.2000000000000002</x:v>
      </x:c>
    </x:row>
    <x:row r="27" ht="25" customHeight="1">
      <x:c r="C27" s="2" t="n">
        <x:v>22</x:v>
      </x:c>
      <x:c r="D27" s="2" t="str">
        <x:v>The Monochromatic Zenith</x:v>
      </x:c>
      <x:c r="E27" s="476" t="n">
        <x:v>6</x:v>
      </x:c>
      <x:c r="F27" s="477" t="n">
        <x:f>'Summary'!$J$20</x:f>
        <x:v>1000</x:v>
      </x:c>
      <x:c r="G27" s="60" t="n">
        <x:f>'Summary'!$J$6</x:f>
        <x:v>0.01</x:v>
      </x:c>
      <x:c r="H27" s="61" t="n">
        <x:f>'Summary'!$J$7</x:f>
        <x:v>0.4</x:v>
      </x:c>
      <x:c r="I27" s="61" t="n">
        <x:f>'Summary'!$J$8</x:f>
        <x:v>0.2</x:v>
      </x:c>
      <x:c r="J27" s="18" t="n">
        <x:f>E27*F27</x:f>
        <x:v>6000</x:v>
      </x:c>
      <x:c r="K27" s="12" t="n">
        <x:f>J27*G27</x:f>
        <x:v>60</x:v>
      </x:c>
      <x:c r="L27" s="12" t="n">
        <x:f>K27*SUM(H27:I27)</x:f>
        <x:v>36.00000000000001</x:v>
      </x:c>
      <x:c r="M27" s="60" t="n">
        <x:f>SUMIFS('Collections'!$M$6:$M$221,'Collections'!$D$6:$D$221,C27)</x:f>
        <x:v>8</x:v>
      </x:c>
      <x:c r="N27" s="12" t="n">
        <x:f>K27-L27-M27</x:f>
        <x:v>15.999999999999993</x:v>
      </x:c>
      <x:c r="O27" s="477" t="n">
        <x:f>COUNTIFS('Collections'!$D$6:$D$221,C27,'Collections'!$G$6:$G$221,"Growth")</x:f>
        <x:v>2</x:v>
      </x:c>
      <x:c r="P27" s="18" t="n">
        <x:f>E27-O27</x:f>
        <x:v>4</x:v>
      </x:c>
      <x:c r="Q27" s="477" t="n">
        <x:f>'Summary'!$J$21</x:f>
        <x:v>10</x:v>
      </x:c>
      <x:c r="R27" s="477" t="n">
        <x:f>'Summary'!$J$22</x:f>
        <x:v>100</x:v>
      </x:c>
      <x:c r="S27" s="12" t="n">
        <x:f>N27/E27</x:f>
        <x:v>2.6666666666666656</x:v>
      </x:c>
      <x:c r="T27" s="60" t="n">
        <x:f>E27*('Summary'!$J$11+'Summary'!$J$12*'Summary'!$J$24)</x:f>
        <x:v>0.7200000000000001</x:v>
      </x:c>
    </x:row>
    <x:row r="28" ht="25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30" customHeight="1">
      <x:c r="C29" s="6"/>
      <x:c r="D29" s="6" t="str">
        <x:v>All seasons</x:v>
      </x:c>
      <x:c r="E29" s="6" t="n">
        <x:f>SUM(E6:E27)</x:f>
        <x:v>216</x:v>
      </x:c>
      <x:c r="F29" s="6"/>
      <x:c r="G29" s="6"/>
      <x:c r="H29" s="6"/>
      <x:c r="I29" s="6"/>
      <x:c r="J29" s="6" t="n">
        <x:f>SUM(J6:J27)</x:f>
        <x:v>216000</x:v>
      </x:c>
      <x:c r="K29" s="480" t="n">
        <x:f>SUM(K6:K27)</x:f>
        <x:v>2160</x:v>
      </x:c>
      <x:c r="L29" s="480" t="n">
        <x:f>SUM(L6:L27)</x:f>
        <x:v>1296.0000000000002</x:v>
      </x:c>
      <x:c r="M29" s="480" t="n">
        <x:f>SUM(M6:M27)</x:f>
        <x:v>292</x:v>
      </x:c>
      <x:c r="N29" s="480" t="n">
        <x:f>SUM(N6:N27)</x:f>
        <x:v>571.9999999999999</x:v>
      </x:c>
      <x:c r="O29" s="6" t="n">
        <x:f>SUM(O6:O27)</x:f>
        <x:v>76</x:v>
      </x:c>
      <x:c r="P29" s="6" t="n">
        <x:f>SUM(P6:P27)</x:f>
        <x:v>140</x:v>
      </x:c>
      <x:c r="Q29" s="6"/>
      <x:c r="R29" s="6"/>
      <x:c r="S29" s="6"/>
      <x:c r="T29" s="480" t="n">
        <x:f>SUM(T6:T27)</x:f>
        <x:v>25.91999999999999</x:v>
      </x:c>
    </x:row>
    <x:row r="30" ht="25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5" customHeight="1">
      <x:c r="C31" s="2" t="str">
        <x:v>Affiliate budgets are maxima. Equal payouts depend on qualification rules and any approved common payout cap.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5" customHeight="1">
      <x:c r="C32" s="2" t="str">
        <x:v>Operator gross must fund chain costs, winner credits, operating costs and treasury retention before any owner distribution.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5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5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5C3AA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10" hidden="0" customWidth="1"/>
    <x:col min="5" max="5" width="37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2" customHeight="1">
      <x:c r="C2" s="3" t="str">
        <x:v>All 216 collection settings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C3" s="4" t="str">
        <x:v>Source: seasons.json. Color order is preserved. Edit tiers to Growth or Standard to test another promotional schedule.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5" customHeight="1">
      <x:c r="C5" s="31" t="str">
        <x:v>Sequence</x:v>
      </x:c>
      <x:c r="D5" s="31" t="str">
        <x:v>Season</x:v>
      </x:c>
      <x:c r="E5" s="31" t="str">
        <x:v>Season name</x:v>
      </x:c>
      <x:c r="F5" s="31" t="str">
        <x:v>Collection / color</x:v>
      </x:c>
      <x:c r="G5" s="31" t="str">
        <x:v>Tier</x:v>
      </x:c>
      <x:c r="H5" s="31" t="str">
        <x:v>NFT supply</x:v>
      </x:c>
      <x:c r="I5" s="31" t="str">
        <x:v>Mint price ETH</x:v>
      </x:c>
      <x:c r="J5" s="31" t="str">
        <x:v>Mint value ETH</x:v>
      </x:c>
      <x:c r="K5" s="31" t="str">
        <x:v>First prize ETH</x:v>
      </x:c>
      <x:c r="L5" s="31" t="str">
        <x:v>Second prize ETH</x:v>
      </x:c>
      <x:c r="M5" s="31" t="str">
        <x:v>Affiliate budget ETH</x:v>
      </x:c>
      <x:c r="N5" s="31" t="str">
        <x:v>Operator gross ETH</x:v>
      </x:c>
      <x:c r="O5" s="31" t="str">
        <x:v>Affiliate slots</x:v>
      </x:c>
      <x:c r="P5" s="31" t="str">
        <x:v>Minimum referrals</x:v>
      </x:c>
      <x:c r="Q5" s="31" t="str">
        <x:v>Maximum credits</x:v>
      </x:c>
      <x:c r="R5" s="31" t="str">
        <x:v>Any-prize chance</x:v>
      </x:c>
      <x:c r="S5" s="31" t="str">
        <x:v>Credit budget ETH</x:v>
      </x:c>
    </x:row>
    <x:row r="6" ht="25" customHeight="1">
      <x:c r="C6" s="32" t="n">
        <x:v>1</x:v>
      </x:c>
      <x:c r="D6" s="32" t="n">
        <x:v>1</x:v>
      </x:c>
      <x:c r="E6" s="32" t="str">
        <x:v>Crimson &amp; Blood Orange</x:v>
      </x:c>
      <x:c r="F6" s="40" t="str">
        <x:v>#330000</x:v>
      </x:c>
      <x:c r="G6" s="38" t="str">
        <x:v>Growth</x:v>
      </x:c>
      <x:c r="H6" s="475" t="n">
        <x:f>'Seasons'!F6</x:f>
        <x:v>1000</x:v>
      </x:c>
      <x:c r="I6" s="35" t="n">
        <x:f>'Seasons'!G6</x:f>
        <x:v>0.01</x:v>
      </x:c>
      <x:c r="J6" s="37" t="n">
        <x:f>H6*I6</x:f>
        <x:v>10</x:v>
      </x:c>
      <x:c r="K6" s="35" t="n">
        <x:f>J6*'Seasons'!H6</x:f>
        <x:v>4</x:v>
      </x:c>
      <x:c r="L6" s="35" t="n">
        <x:f>J6*'Seasons'!I6</x:f>
        <x:v>2</x:v>
      </x:c>
      <x:c r="M6" s="35" t="n">
        <x:f>J6*IF(G6="Growth",'Summary'!$J$9,IF(G6="Standard",'Summary'!$J$10,NA()))</x:f>
        <x:v>2</x:v>
      </x:c>
      <x:c r="N6" s="37" t="n">
        <x:f>J6-SUM(K6:M6)</x:f>
        <x:v>2</x:v>
      </x:c>
      <x:c r="O6" s="475" t="n">
        <x:f>'Summary'!$J$21</x:f>
        <x:v>10</x:v>
      </x:c>
      <x:c r="P6" s="475" t="n">
        <x:f>'Summary'!$J$22</x:f>
        <x:v>100</x:v>
      </x:c>
      <x:c r="Q6" s="475" t="n">
        <x:f>'Summary'!$J$24</x:f>
        <x:v>2</x:v>
      </x:c>
      <x:c r="R6" s="481" t="n">
        <x:f>Q6/H6</x:f>
        <x:v>0.002</x:v>
      </x:c>
      <x:c r="S6" s="35" t="n">
        <x:f>Q6*'Summary'!$J$12</x:f>
        <x:v>0.02</x:v>
      </x:c>
    </x:row>
    <x:row r="7" ht="25" customHeight="1">
      <x:c r="C7" s="2" t="n">
        <x:v>2</x:v>
      </x:c>
      <x:c r="D7" s="2" t="n">
        <x:v>1</x:v>
      </x:c>
      <x:c r="E7" s="2" t="str">
        <x:v>Crimson &amp; Blood Orange</x:v>
      </x:c>
      <x:c r="F7" s="42" t="str">
        <x:v>#660000</x:v>
      </x:c>
      <x:c r="G7" s="38" t="str">
        <x:v>Growth</x:v>
      </x:c>
      <x:c r="H7" s="477" t="n">
        <x:f>'Seasons'!F6</x:f>
        <x:v>1000</x:v>
      </x:c>
      <x:c r="I7" s="60" t="n">
        <x:f>'Seasons'!G6</x:f>
        <x:v>0.01</x:v>
      </x:c>
      <x:c r="J7" s="12" t="n">
        <x:f>H7*I7</x:f>
        <x:v>10</x:v>
      </x:c>
      <x:c r="K7" s="60" t="n">
        <x:f>J7*'Seasons'!H6</x:f>
        <x:v>4</x:v>
      </x:c>
      <x:c r="L7" s="60" t="n">
        <x:f>J7*'Seasons'!I6</x:f>
        <x:v>2</x:v>
      </x:c>
      <x:c r="M7" s="60" t="n">
        <x:f>J7*IF(G7="Growth",'Summary'!$J$9,IF(G7="Standard",'Summary'!$J$10,NA()))</x:f>
        <x:v>2</x:v>
      </x:c>
      <x:c r="N7" s="12" t="n">
        <x:f>J7-SUM(K7:M7)</x:f>
        <x:v>2</x:v>
      </x:c>
      <x:c r="O7" s="477" t="n">
        <x:f>'Summary'!$J$21</x:f>
        <x:v>10</x:v>
      </x:c>
      <x:c r="P7" s="477" t="n">
        <x:f>'Summary'!$J$22</x:f>
        <x:v>100</x:v>
      </x:c>
      <x:c r="Q7" s="477" t="n">
        <x:f>'Summary'!$J$24</x:f>
        <x:v>2</x:v>
      </x:c>
      <x:c r="R7" s="482" t="n">
        <x:f>Q7/H7</x:f>
        <x:v>0.002</x:v>
      </x:c>
      <x:c r="S7" s="60" t="n">
        <x:f>Q7*'Summary'!$J$12</x:f>
        <x:v>0.02</x:v>
      </x:c>
    </x:row>
    <x:row r="8" ht="25" customHeight="1">
      <x:c r="C8" s="32" t="n">
        <x:v>3</x:v>
      </x:c>
      <x:c r="D8" s="32" t="n">
        <x:v>1</x:v>
      </x:c>
      <x:c r="E8" s="32" t="str">
        <x:v>Crimson &amp; Blood Orange</x:v>
      </x:c>
      <x:c r="F8" s="45" t="str">
        <x:v>#990000</x:v>
      </x:c>
      <x:c r="G8" s="38" t="str">
        <x:v>Growth</x:v>
      </x:c>
      <x:c r="H8" s="475" t="n">
        <x:f>'Seasons'!F6</x:f>
        <x:v>1000</x:v>
      </x:c>
      <x:c r="I8" s="35" t="n">
        <x:f>'Seasons'!G6</x:f>
        <x:v>0.01</x:v>
      </x:c>
      <x:c r="J8" s="37" t="n">
        <x:f>H8*I8</x:f>
        <x:v>10</x:v>
      </x:c>
      <x:c r="K8" s="35" t="n">
        <x:f>J8*'Seasons'!H6</x:f>
        <x:v>4</x:v>
      </x:c>
      <x:c r="L8" s="35" t="n">
        <x:f>J8*'Seasons'!I6</x:f>
        <x:v>2</x:v>
      </x:c>
      <x:c r="M8" s="35" t="n">
        <x:f>J8*IF(G8="Growth",'Summary'!$J$9,IF(G8="Standard",'Summary'!$J$10,NA()))</x:f>
        <x:v>2</x:v>
      </x:c>
      <x:c r="N8" s="37" t="n">
        <x:f>J8-SUM(K8:M8)</x:f>
        <x:v>2</x:v>
      </x:c>
      <x:c r="O8" s="475" t="n">
        <x:f>'Summary'!$J$21</x:f>
        <x:v>10</x:v>
      </x:c>
      <x:c r="P8" s="475" t="n">
        <x:f>'Summary'!$J$22</x:f>
        <x:v>100</x:v>
      </x:c>
      <x:c r="Q8" s="475" t="n">
        <x:f>'Summary'!$J$24</x:f>
        <x:v>2</x:v>
      </x:c>
      <x:c r="R8" s="481" t="n">
        <x:f>Q8/H8</x:f>
        <x:v>0.002</x:v>
      </x:c>
      <x:c r="S8" s="35" t="n">
        <x:f>Q8*'Summary'!$J$12</x:f>
        <x:v>0.02</x:v>
      </x:c>
    </x:row>
    <x:row r="9" ht="25" customHeight="1">
      <x:c r="C9" s="2" t="n">
        <x:v>4</x:v>
      </x:c>
      <x:c r="D9" s="2" t="n">
        <x:v>1</x:v>
      </x:c>
      <x:c r="E9" s="2" t="str">
        <x:v>Crimson &amp; Blood Orange</x:v>
      </x:c>
      <x:c r="F9" s="47" t="str">
        <x:v>#CC0000</x:v>
      </x:c>
      <x:c r="G9" s="38" t="str">
        <x:v>Growth</x:v>
      </x:c>
      <x:c r="H9" s="477" t="n">
        <x:f>'Seasons'!F6</x:f>
        <x:v>1000</x:v>
      </x:c>
      <x:c r="I9" s="60" t="n">
        <x:f>'Seasons'!G6</x:f>
        <x:v>0.01</x:v>
      </x:c>
      <x:c r="J9" s="12" t="n">
        <x:f>H9*I9</x:f>
        <x:v>10</x:v>
      </x:c>
      <x:c r="K9" s="60" t="n">
        <x:f>J9*'Seasons'!H6</x:f>
        <x:v>4</x:v>
      </x:c>
      <x:c r="L9" s="60" t="n">
        <x:f>J9*'Seasons'!I6</x:f>
        <x:v>2</x:v>
      </x:c>
      <x:c r="M9" s="60" t="n">
        <x:f>J9*IF(G9="Growth",'Summary'!$J$9,IF(G9="Standard",'Summary'!$J$10,NA()))</x:f>
        <x:v>2</x:v>
      </x:c>
      <x:c r="N9" s="12" t="n">
        <x:f>J9-SUM(K9:M9)</x:f>
        <x:v>2</x:v>
      </x:c>
      <x:c r="O9" s="477" t="n">
        <x:f>'Summary'!$J$21</x:f>
        <x:v>10</x:v>
      </x:c>
      <x:c r="P9" s="477" t="n">
        <x:f>'Summary'!$J$22</x:f>
        <x:v>100</x:v>
      </x:c>
      <x:c r="Q9" s="477" t="n">
        <x:f>'Summary'!$J$24</x:f>
        <x:v>2</x:v>
      </x:c>
      <x:c r="R9" s="482" t="n">
        <x:f>Q9/H9</x:f>
        <x:v>0.002</x:v>
      </x:c>
      <x:c r="S9" s="60" t="n">
        <x:f>Q9*'Summary'!$J$12</x:f>
        <x:v>0.02</x:v>
      </x:c>
    </x:row>
    <x:row r="10" ht="25" customHeight="1">
      <x:c r="C10" s="32" t="n">
        <x:v>5</x:v>
      </x:c>
      <x:c r="D10" s="32" t="n">
        <x:v>1</x:v>
      </x:c>
      <x:c r="E10" s="32" t="str">
        <x:v>Crimson &amp; Blood Orange</x:v>
      </x:c>
      <x:c r="F10" s="49" t="str">
        <x:v>#FF0000</x:v>
      </x:c>
      <x:c r="G10" s="38" t="str">
        <x:v>Growth</x:v>
      </x:c>
      <x:c r="H10" s="475" t="n">
        <x:f>'Seasons'!F6</x:f>
        <x:v>1000</x:v>
      </x:c>
      <x:c r="I10" s="35" t="n">
        <x:f>'Seasons'!G6</x:f>
        <x:v>0.01</x:v>
      </x:c>
      <x:c r="J10" s="37" t="n">
        <x:f>H10*I10</x:f>
        <x:v>10</x:v>
      </x:c>
      <x:c r="K10" s="35" t="n">
        <x:f>J10*'Seasons'!H6</x:f>
        <x:v>4</x:v>
      </x:c>
      <x:c r="L10" s="35" t="n">
        <x:f>J10*'Seasons'!I6</x:f>
        <x:v>2</x:v>
      </x:c>
      <x:c r="M10" s="35" t="n">
        <x:f>J10*IF(G10="Growth",'Summary'!$J$9,IF(G10="Standard",'Summary'!$J$10,NA()))</x:f>
        <x:v>2</x:v>
      </x:c>
      <x:c r="N10" s="37" t="n">
        <x:f>J10-SUM(K10:M10)</x:f>
        <x:v>2</x:v>
      </x:c>
      <x:c r="O10" s="475" t="n">
        <x:f>'Summary'!$J$21</x:f>
        <x:v>10</x:v>
      </x:c>
      <x:c r="P10" s="475" t="n">
        <x:f>'Summary'!$J$22</x:f>
        <x:v>100</x:v>
      </x:c>
      <x:c r="Q10" s="475" t="n">
        <x:f>'Summary'!$J$24</x:f>
        <x:v>2</x:v>
      </x:c>
      <x:c r="R10" s="481" t="n">
        <x:f>Q10/H10</x:f>
        <x:v>0.002</x:v>
      </x:c>
      <x:c r="S10" s="35" t="n">
        <x:f>Q10*'Summary'!$J$12</x:f>
        <x:v>0.02</x:v>
      </x:c>
    </x:row>
    <x:row r="11" ht="25" customHeight="1">
      <x:c r="C11" s="2" t="n">
        <x:v>6</x:v>
      </x:c>
      <x:c r="D11" s="2" t="n">
        <x:v>1</x:v>
      </x:c>
      <x:c r="E11" s="2" t="str">
        <x:v>Crimson &amp; Blood Orange</x:v>
      </x:c>
      <x:c r="F11" s="51" t="str">
        <x:v>#663300</x:v>
      </x:c>
      <x:c r="G11" s="38" t="str">
        <x:v>Growth</x:v>
      </x:c>
      <x:c r="H11" s="477" t="n">
        <x:f>'Seasons'!F6</x:f>
        <x:v>1000</x:v>
      </x:c>
      <x:c r="I11" s="60" t="n">
        <x:f>'Seasons'!G6</x:f>
        <x:v>0.01</x:v>
      </x:c>
      <x:c r="J11" s="12" t="n">
        <x:f>H11*I11</x:f>
        <x:v>10</x:v>
      </x:c>
      <x:c r="K11" s="60" t="n">
        <x:f>J11*'Seasons'!H6</x:f>
        <x:v>4</x:v>
      </x:c>
      <x:c r="L11" s="60" t="n">
        <x:f>J11*'Seasons'!I6</x:f>
        <x:v>2</x:v>
      </x:c>
      <x:c r="M11" s="60" t="n">
        <x:f>J11*IF(G11="Growth",'Summary'!$J$9,IF(G11="Standard",'Summary'!$J$10,NA()))</x:f>
        <x:v>2</x:v>
      </x:c>
      <x:c r="N11" s="12" t="n">
        <x:f>J11-SUM(K11:M11)</x:f>
        <x:v>2</x:v>
      </x:c>
      <x:c r="O11" s="477" t="n">
        <x:f>'Summary'!$J$21</x:f>
        <x:v>10</x:v>
      </x:c>
      <x:c r="P11" s="477" t="n">
        <x:f>'Summary'!$J$22</x:f>
        <x:v>100</x:v>
      </x:c>
      <x:c r="Q11" s="477" t="n">
        <x:f>'Summary'!$J$24</x:f>
        <x:v>2</x:v>
      </x:c>
      <x:c r="R11" s="482" t="n">
        <x:f>Q11/H11</x:f>
        <x:v>0.002</x:v>
      </x:c>
      <x:c r="S11" s="60" t="n">
        <x:f>Q11*'Summary'!$J$12</x:f>
        <x:v>0.02</x:v>
      </x:c>
    </x:row>
    <x:row r="12" ht="25" customHeight="1">
      <x:c r="C12" s="32" t="n">
        <x:v>7</x:v>
      </x:c>
      <x:c r="D12" s="32" t="n">
        <x:v>1</x:v>
      </x:c>
      <x:c r="E12" s="32" t="str">
        <x:v>Crimson &amp; Blood Orange</x:v>
      </x:c>
      <x:c r="F12" s="53" t="str">
        <x:v>#993300</x:v>
      </x:c>
      <x:c r="G12" s="38" t="str">
        <x:v>Growth</x:v>
      </x:c>
      <x:c r="H12" s="475" t="n">
        <x:f>'Seasons'!F6</x:f>
        <x:v>1000</x:v>
      </x:c>
      <x:c r="I12" s="35" t="n">
        <x:f>'Seasons'!G6</x:f>
        <x:v>0.01</x:v>
      </x:c>
      <x:c r="J12" s="37" t="n">
        <x:f>H12*I12</x:f>
        <x:v>10</x:v>
      </x:c>
      <x:c r="K12" s="35" t="n">
        <x:f>J12*'Seasons'!H6</x:f>
        <x:v>4</x:v>
      </x:c>
      <x:c r="L12" s="35" t="n">
        <x:f>J12*'Seasons'!I6</x:f>
        <x:v>2</x:v>
      </x:c>
      <x:c r="M12" s="35" t="n">
        <x:f>J12*IF(G12="Growth",'Summary'!$J$9,IF(G12="Standard",'Summary'!$J$10,NA()))</x:f>
        <x:v>2</x:v>
      </x:c>
      <x:c r="N12" s="37" t="n">
        <x:f>J12-SUM(K12:M12)</x:f>
        <x:v>2</x:v>
      </x:c>
      <x:c r="O12" s="475" t="n">
        <x:f>'Summary'!$J$21</x:f>
        <x:v>10</x:v>
      </x:c>
      <x:c r="P12" s="475" t="n">
        <x:f>'Summary'!$J$22</x:f>
        <x:v>100</x:v>
      </x:c>
      <x:c r="Q12" s="475" t="n">
        <x:f>'Summary'!$J$24</x:f>
        <x:v>2</x:v>
      </x:c>
      <x:c r="R12" s="481" t="n">
        <x:f>Q12/H12</x:f>
        <x:v>0.002</x:v>
      </x:c>
      <x:c r="S12" s="35" t="n">
        <x:f>Q12*'Summary'!$J$12</x:f>
        <x:v>0.02</x:v>
      </x:c>
    </x:row>
    <x:row r="13" ht="25" customHeight="1">
      <x:c r="C13" s="2" t="n">
        <x:v>8</x:v>
      </x:c>
      <x:c r="D13" s="2" t="n">
        <x:v>1</x:v>
      </x:c>
      <x:c r="E13" s="2" t="str">
        <x:v>Crimson &amp; Blood Orange</x:v>
      </x:c>
      <x:c r="F13" s="55" t="str">
        <x:v>#CC3300</x:v>
      </x:c>
      <x:c r="G13" s="38" t="str">
        <x:v>Growth</x:v>
      </x:c>
      <x:c r="H13" s="477" t="n">
        <x:f>'Seasons'!F6</x:f>
        <x:v>1000</x:v>
      </x:c>
      <x:c r="I13" s="60" t="n">
        <x:f>'Seasons'!G6</x:f>
        <x:v>0.01</x:v>
      </x:c>
      <x:c r="J13" s="12" t="n">
        <x:f>H13*I13</x:f>
        <x:v>10</x:v>
      </x:c>
      <x:c r="K13" s="60" t="n">
        <x:f>J13*'Seasons'!H6</x:f>
        <x:v>4</x:v>
      </x:c>
      <x:c r="L13" s="60" t="n">
        <x:f>J13*'Seasons'!I6</x:f>
        <x:v>2</x:v>
      </x:c>
      <x:c r="M13" s="60" t="n">
        <x:f>J13*IF(G13="Growth",'Summary'!$J$9,IF(G13="Standard",'Summary'!$J$10,NA()))</x:f>
        <x:v>2</x:v>
      </x:c>
      <x:c r="N13" s="12" t="n">
        <x:f>J13-SUM(K13:M13)</x:f>
        <x:v>2</x:v>
      </x:c>
      <x:c r="O13" s="477" t="n">
        <x:f>'Summary'!$J$21</x:f>
        <x:v>10</x:v>
      </x:c>
      <x:c r="P13" s="477" t="n">
        <x:f>'Summary'!$J$22</x:f>
        <x:v>100</x:v>
      </x:c>
      <x:c r="Q13" s="477" t="n">
        <x:f>'Summary'!$J$24</x:f>
        <x:v>2</x:v>
      </x:c>
      <x:c r="R13" s="482" t="n">
        <x:f>Q13/H13</x:f>
        <x:v>0.002</x:v>
      </x:c>
      <x:c r="S13" s="60" t="n">
        <x:f>Q13*'Summary'!$J$12</x:f>
        <x:v>0.02</x:v>
      </x:c>
    </x:row>
    <x:row r="14" ht="25" customHeight="1">
      <x:c r="C14" s="32" t="n">
        <x:v>9</x:v>
      </x:c>
      <x:c r="D14" s="32" t="n">
        <x:v>1</x:v>
      </x:c>
      <x:c r="E14" s="32" t="str">
        <x:v>Crimson &amp; Blood Orange</x:v>
      </x:c>
      <x:c r="F14" s="57" t="str">
        <x:v>#FF3300</x:v>
      </x:c>
      <x:c r="G14" s="38" t="str">
        <x:v>Growth</x:v>
      </x:c>
      <x:c r="H14" s="475" t="n">
        <x:f>'Seasons'!F6</x:f>
        <x:v>1000</x:v>
      </x:c>
      <x:c r="I14" s="35" t="n">
        <x:f>'Seasons'!G6</x:f>
        <x:v>0.01</x:v>
      </x:c>
      <x:c r="J14" s="37" t="n">
        <x:f>H14*I14</x:f>
        <x:v>10</x:v>
      </x:c>
      <x:c r="K14" s="35" t="n">
        <x:f>J14*'Seasons'!H6</x:f>
        <x:v>4</x:v>
      </x:c>
      <x:c r="L14" s="35" t="n">
        <x:f>J14*'Seasons'!I6</x:f>
        <x:v>2</x:v>
      </x:c>
      <x:c r="M14" s="35" t="n">
        <x:f>J14*IF(G14="Growth",'Summary'!$J$9,IF(G14="Standard",'Summary'!$J$10,NA()))</x:f>
        <x:v>2</x:v>
      </x:c>
      <x:c r="N14" s="37" t="n">
        <x:f>J14-SUM(K14:M14)</x:f>
        <x:v>2</x:v>
      </x:c>
      <x:c r="O14" s="475" t="n">
        <x:f>'Summary'!$J$21</x:f>
        <x:v>10</x:v>
      </x:c>
      <x:c r="P14" s="475" t="n">
        <x:f>'Summary'!$J$22</x:f>
        <x:v>100</x:v>
      </x:c>
      <x:c r="Q14" s="475" t="n">
        <x:f>'Summary'!$J$24</x:f>
        <x:v>2</x:v>
      </x:c>
      <x:c r="R14" s="481" t="n">
        <x:f>Q14/H14</x:f>
        <x:v>0.002</x:v>
      </x:c>
      <x:c r="S14" s="35" t="n">
        <x:f>Q14*'Summary'!$J$12</x:f>
        <x:v>0.02</x:v>
      </x:c>
    </x:row>
    <x:row r="15" ht="25" customHeight="1">
      <x:c r="C15" s="2" t="n">
        <x:v>10</x:v>
      </x:c>
      <x:c r="D15" s="2" t="n">
        <x:v>1</x:v>
      </x:c>
      <x:c r="E15" s="2" t="str">
        <x:v>Crimson &amp; Blood Orange</x:v>
      </x:c>
      <x:c r="F15" s="59" t="str">
        <x:v>#FF6600</x:v>
      </x:c>
      <x:c r="G15" s="38" t="str">
        <x:v>Growth</x:v>
      </x:c>
      <x:c r="H15" s="477" t="n">
        <x:f>'Seasons'!F6</x:f>
        <x:v>1000</x:v>
      </x:c>
      <x:c r="I15" s="60" t="n">
        <x:f>'Seasons'!G6</x:f>
        <x:v>0.01</x:v>
      </x:c>
      <x:c r="J15" s="12" t="n">
        <x:f>H15*I15</x:f>
        <x:v>10</x:v>
      </x:c>
      <x:c r="K15" s="60" t="n">
        <x:f>J15*'Seasons'!H6</x:f>
        <x:v>4</x:v>
      </x:c>
      <x:c r="L15" s="60" t="n">
        <x:f>J15*'Seasons'!I6</x:f>
        <x:v>2</x:v>
      </x:c>
      <x:c r="M15" s="60" t="n">
        <x:f>J15*IF(G15="Growth",'Summary'!$J$9,IF(G15="Standard",'Summary'!$J$10,NA()))</x:f>
        <x:v>2</x:v>
      </x:c>
      <x:c r="N15" s="12" t="n">
        <x:f>J15-SUM(K15:M15)</x:f>
        <x:v>2</x:v>
      </x:c>
      <x:c r="O15" s="477" t="n">
        <x:f>'Summary'!$J$21</x:f>
        <x:v>10</x:v>
      </x:c>
      <x:c r="P15" s="477" t="n">
        <x:f>'Summary'!$J$22</x:f>
        <x:v>100</x:v>
      </x:c>
      <x:c r="Q15" s="477" t="n">
        <x:f>'Summary'!$J$24</x:f>
        <x:v>2</x:v>
      </x:c>
      <x:c r="R15" s="482" t="n">
        <x:f>Q15/H15</x:f>
        <x:v>0.002</x:v>
      </x:c>
      <x:c r="S15" s="60" t="n">
        <x:f>Q15*'Summary'!$J$12</x:f>
        <x:v>0.02</x:v>
      </x:c>
    </x:row>
    <x:row r="16" ht="25" customHeight="1">
      <x:c r="C16" s="32" t="n">
        <x:v>11</x:v>
      </x:c>
      <x:c r="D16" s="32" t="n">
        <x:v>2</x:v>
      </x:c>
      <x:c r="E16" s="32" t="str">
        <x:v>Burnt Sienna &amp; Terracotta</x:v>
      </x:c>
      <x:c r="F16" s="63" t="str">
        <x:v>#996600</x:v>
      </x:c>
      <x:c r="G16" s="38" t="str">
        <x:v>Growth</x:v>
      </x:c>
      <x:c r="H16" s="475" t="n">
        <x:f>'Seasons'!F7</x:f>
        <x:v>1000</x:v>
      </x:c>
      <x:c r="I16" s="35" t="n">
        <x:f>'Seasons'!G7</x:f>
        <x:v>0.01</x:v>
      </x:c>
      <x:c r="J16" s="37" t="n">
        <x:f>H16*I16</x:f>
        <x:v>10</x:v>
      </x:c>
      <x:c r="K16" s="35" t="n">
        <x:f>J16*'Seasons'!H7</x:f>
        <x:v>4</x:v>
      </x:c>
      <x:c r="L16" s="35" t="n">
        <x:f>J16*'Seasons'!I7</x:f>
        <x:v>2</x:v>
      </x:c>
      <x:c r="M16" s="35" t="n">
        <x:f>J16*IF(G16="Growth",'Summary'!$J$9,IF(G16="Standard",'Summary'!$J$10,NA()))</x:f>
        <x:v>2</x:v>
      </x:c>
      <x:c r="N16" s="37" t="n">
        <x:f>J16-SUM(K16:M16)</x:f>
        <x:v>2</x:v>
      </x:c>
      <x:c r="O16" s="475" t="n">
        <x:f>'Summary'!$J$21</x:f>
        <x:v>10</x:v>
      </x:c>
      <x:c r="P16" s="475" t="n">
        <x:f>'Summary'!$J$22</x:f>
        <x:v>100</x:v>
      </x:c>
      <x:c r="Q16" s="475" t="n">
        <x:f>'Summary'!$J$24</x:f>
        <x:v>2</x:v>
      </x:c>
      <x:c r="R16" s="481" t="n">
        <x:f>Q16/H16</x:f>
        <x:v>0.002</x:v>
      </x:c>
      <x:c r="S16" s="35" t="n">
        <x:f>Q16*'Summary'!$J$12</x:f>
        <x:v>0.02</x:v>
      </x:c>
    </x:row>
    <x:row r="17" ht="25" customHeight="1">
      <x:c r="C17" s="2" t="n">
        <x:v>12</x:v>
      </x:c>
      <x:c r="D17" s="2" t="n">
        <x:v>2</x:v>
      </x:c>
      <x:c r="E17" s="2" t="str">
        <x:v>Burnt Sienna &amp; Terracotta</x:v>
      </x:c>
      <x:c r="F17" s="65" t="str">
        <x:v>#CC6600</x:v>
      </x:c>
      <x:c r="G17" s="38" t="str">
        <x:v>Growth</x:v>
      </x:c>
      <x:c r="H17" s="477" t="n">
        <x:f>'Seasons'!F7</x:f>
        <x:v>1000</x:v>
      </x:c>
      <x:c r="I17" s="60" t="n">
        <x:f>'Seasons'!G7</x:f>
        <x:v>0.01</x:v>
      </x:c>
      <x:c r="J17" s="12" t="n">
        <x:f>H17*I17</x:f>
        <x:v>10</x:v>
      </x:c>
      <x:c r="K17" s="60" t="n">
        <x:f>J17*'Seasons'!H7</x:f>
        <x:v>4</x:v>
      </x:c>
      <x:c r="L17" s="60" t="n">
        <x:f>J17*'Seasons'!I7</x:f>
        <x:v>2</x:v>
      </x:c>
      <x:c r="M17" s="60" t="n">
        <x:f>J17*IF(G17="Growth",'Summary'!$J$9,IF(G17="Standard",'Summary'!$J$10,NA()))</x:f>
        <x:v>2</x:v>
      </x:c>
      <x:c r="N17" s="12" t="n">
        <x:f>J17-SUM(K17:M17)</x:f>
        <x:v>2</x:v>
      </x:c>
      <x:c r="O17" s="477" t="n">
        <x:f>'Summary'!$J$21</x:f>
        <x:v>10</x:v>
      </x:c>
      <x:c r="P17" s="477" t="n">
        <x:f>'Summary'!$J$22</x:f>
        <x:v>100</x:v>
      </x:c>
      <x:c r="Q17" s="477" t="n">
        <x:f>'Summary'!$J$24</x:f>
        <x:v>2</x:v>
      </x:c>
      <x:c r="R17" s="482" t="n">
        <x:f>Q17/H17</x:f>
        <x:v>0.002</x:v>
      </x:c>
      <x:c r="S17" s="60" t="n">
        <x:f>Q17*'Summary'!$J$12</x:f>
        <x:v>0.02</x:v>
      </x:c>
    </x:row>
    <x:row r="18" ht="25" customHeight="1">
      <x:c r="C18" s="32" t="n">
        <x:v>13</x:v>
      </x:c>
      <x:c r="D18" s="32" t="n">
        <x:v>2</x:v>
      </x:c>
      <x:c r="E18" s="32" t="str">
        <x:v>Burnt Sienna &amp; Terracotta</x:v>
      </x:c>
      <x:c r="F18" s="67" t="str">
        <x:v>#CC9900</x:v>
      </x:c>
      <x:c r="G18" s="38" t="str">
        <x:v>Growth</x:v>
      </x:c>
      <x:c r="H18" s="475" t="n">
        <x:f>'Seasons'!F7</x:f>
        <x:v>1000</x:v>
      </x:c>
      <x:c r="I18" s="35" t="n">
        <x:f>'Seasons'!G7</x:f>
        <x:v>0.01</x:v>
      </x:c>
      <x:c r="J18" s="37" t="n">
        <x:f>H18*I18</x:f>
        <x:v>10</x:v>
      </x:c>
      <x:c r="K18" s="35" t="n">
        <x:f>J18*'Seasons'!H7</x:f>
        <x:v>4</x:v>
      </x:c>
      <x:c r="L18" s="35" t="n">
        <x:f>J18*'Seasons'!I7</x:f>
        <x:v>2</x:v>
      </x:c>
      <x:c r="M18" s="35" t="n">
        <x:f>J18*IF(G18="Growth",'Summary'!$J$9,IF(G18="Standard",'Summary'!$J$10,NA()))</x:f>
        <x:v>2</x:v>
      </x:c>
      <x:c r="N18" s="37" t="n">
        <x:f>J18-SUM(K18:M18)</x:f>
        <x:v>2</x:v>
      </x:c>
      <x:c r="O18" s="475" t="n">
        <x:f>'Summary'!$J$21</x:f>
        <x:v>10</x:v>
      </x:c>
      <x:c r="P18" s="475" t="n">
        <x:f>'Summary'!$J$22</x:f>
        <x:v>100</x:v>
      </x:c>
      <x:c r="Q18" s="475" t="n">
        <x:f>'Summary'!$J$24</x:f>
        <x:v>2</x:v>
      </x:c>
      <x:c r="R18" s="481" t="n">
        <x:f>Q18/H18</x:f>
        <x:v>0.002</x:v>
      </x:c>
      <x:c r="S18" s="35" t="n">
        <x:f>Q18*'Summary'!$J$12</x:f>
        <x:v>0.02</x:v>
      </x:c>
    </x:row>
    <x:row r="19" ht="25" customHeight="1">
      <x:c r="C19" s="2" t="n">
        <x:v>14</x:v>
      </x:c>
      <x:c r="D19" s="2" t="n">
        <x:v>2</x:v>
      </x:c>
      <x:c r="E19" s="2" t="str">
        <x:v>Burnt Sienna &amp; Terracotta</x:v>
      </x:c>
      <x:c r="F19" s="69" t="str">
        <x:v>#FF9900</x:v>
      </x:c>
      <x:c r="G19" s="38" t="str">
        <x:v>Growth</x:v>
      </x:c>
      <x:c r="H19" s="477" t="n">
        <x:f>'Seasons'!F7</x:f>
        <x:v>1000</x:v>
      </x:c>
      <x:c r="I19" s="60" t="n">
        <x:f>'Seasons'!G7</x:f>
        <x:v>0.01</x:v>
      </x:c>
      <x:c r="J19" s="12" t="n">
        <x:f>H19*I19</x:f>
        <x:v>10</x:v>
      </x:c>
      <x:c r="K19" s="60" t="n">
        <x:f>J19*'Seasons'!H7</x:f>
        <x:v>4</x:v>
      </x:c>
      <x:c r="L19" s="60" t="n">
        <x:f>J19*'Seasons'!I7</x:f>
        <x:v>2</x:v>
      </x:c>
      <x:c r="M19" s="60" t="n">
        <x:f>J19*IF(G19="Growth",'Summary'!$J$9,IF(G19="Standard",'Summary'!$J$10,NA()))</x:f>
        <x:v>2</x:v>
      </x:c>
      <x:c r="N19" s="12" t="n">
        <x:f>J19-SUM(K19:M19)</x:f>
        <x:v>2</x:v>
      </x:c>
      <x:c r="O19" s="477" t="n">
        <x:f>'Summary'!$J$21</x:f>
        <x:v>10</x:v>
      </x:c>
      <x:c r="P19" s="477" t="n">
        <x:f>'Summary'!$J$22</x:f>
        <x:v>100</x:v>
      </x:c>
      <x:c r="Q19" s="477" t="n">
        <x:f>'Summary'!$J$24</x:f>
        <x:v>2</x:v>
      </x:c>
      <x:c r="R19" s="482" t="n">
        <x:f>Q19/H19</x:f>
        <x:v>0.002</x:v>
      </x:c>
      <x:c r="S19" s="60" t="n">
        <x:f>Q19*'Summary'!$J$12</x:f>
        <x:v>0.02</x:v>
      </x:c>
    </x:row>
    <x:row r="20" ht="25" customHeight="1">
      <x:c r="C20" s="32" t="n">
        <x:v>15</x:v>
      </x:c>
      <x:c r="D20" s="32" t="n">
        <x:v>2</x:v>
      </x:c>
      <x:c r="E20" s="32" t="str">
        <x:v>Burnt Sienna &amp; Terracotta</x:v>
      </x:c>
      <x:c r="F20" s="71" t="str">
        <x:v>#FFCC00</x:v>
      </x:c>
      <x:c r="G20" s="38" t="str">
        <x:v>Growth</x:v>
      </x:c>
      <x:c r="H20" s="475" t="n">
        <x:f>'Seasons'!F7</x:f>
        <x:v>1000</x:v>
      </x:c>
      <x:c r="I20" s="35" t="n">
        <x:f>'Seasons'!G7</x:f>
        <x:v>0.01</x:v>
      </x:c>
      <x:c r="J20" s="37" t="n">
        <x:f>H20*I20</x:f>
        <x:v>10</x:v>
      </x:c>
      <x:c r="K20" s="35" t="n">
        <x:f>J20*'Seasons'!H7</x:f>
        <x:v>4</x:v>
      </x:c>
      <x:c r="L20" s="35" t="n">
        <x:f>J20*'Seasons'!I7</x:f>
        <x:v>2</x:v>
      </x:c>
      <x:c r="M20" s="35" t="n">
        <x:f>J20*IF(G20="Growth",'Summary'!$J$9,IF(G20="Standard",'Summary'!$J$10,NA()))</x:f>
        <x:v>2</x:v>
      </x:c>
      <x:c r="N20" s="37" t="n">
        <x:f>J20-SUM(K20:M20)</x:f>
        <x:v>2</x:v>
      </x:c>
      <x:c r="O20" s="475" t="n">
        <x:f>'Summary'!$J$21</x:f>
        <x:v>10</x:v>
      </x:c>
      <x:c r="P20" s="475" t="n">
        <x:f>'Summary'!$J$22</x:f>
        <x:v>100</x:v>
      </x:c>
      <x:c r="Q20" s="475" t="n">
        <x:f>'Summary'!$J$24</x:f>
        <x:v>2</x:v>
      </x:c>
      <x:c r="R20" s="481" t="n">
        <x:f>Q20/H20</x:f>
        <x:v>0.002</x:v>
      </x:c>
      <x:c r="S20" s="35" t="n">
        <x:f>Q20*'Summary'!$J$12</x:f>
        <x:v>0.02</x:v>
      </x:c>
    </x:row>
    <x:row r="21" ht="25" customHeight="1">
      <x:c r="C21" s="2" t="n">
        <x:v>16</x:v>
      </x:c>
      <x:c r="D21" s="2" t="n">
        <x:v>2</x:v>
      </x:c>
      <x:c r="E21" s="2" t="str">
        <x:v>Burnt Sienna &amp; Terracotta</x:v>
      </x:c>
      <x:c r="F21" s="73" t="str">
        <x:v>#663333</x:v>
      </x:c>
      <x:c r="G21" s="38" t="str">
        <x:v>Growth</x:v>
      </x:c>
      <x:c r="H21" s="477" t="n">
        <x:f>'Seasons'!F7</x:f>
        <x:v>1000</x:v>
      </x:c>
      <x:c r="I21" s="60" t="n">
        <x:f>'Seasons'!G7</x:f>
        <x:v>0.01</x:v>
      </x:c>
      <x:c r="J21" s="12" t="n">
        <x:f>H21*I21</x:f>
        <x:v>10</x:v>
      </x:c>
      <x:c r="K21" s="60" t="n">
        <x:f>J21*'Seasons'!H7</x:f>
        <x:v>4</x:v>
      </x:c>
      <x:c r="L21" s="60" t="n">
        <x:f>J21*'Seasons'!I7</x:f>
        <x:v>2</x:v>
      </x:c>
      <x:c r="M21" s="60" t="n">
        <x:f>J21*IF(G21="Growth",'Summary'!$J$9,IF(G21="Standard",'Summary'!$J$10,NA()))</x:f>
        <x:v>2</x:v>
      </x:c>
      <x:c r="N21" s="12" t="n">
        <x:f>J21-SUM(K21:M21)</x:f>
        <x:v>2</x:v>
      </x:c>
      <x:c r="O21" s="477" t="n">
        <x:f>'Summary'!$J$21</x:f>
        <x:v>10</x:v>
      </x:c>
      <x:c r="P21" s="477" t="n">
        <x:f>'Summary'!$J$22</x:f>
        <x:v>100</x:v>
      </x:c>
      <x:c r="Q21" s="477" t="n">
        <x:f>'Summary'!$J$24</x:f>
        <x:v>2</x:v>
      </x:c>
      <x:c r="R21" s="482" t="n">
        <x:f>Q21/H21</x:f>
        <x:v>0.002</x:v>
      </x:c>
      <x:c r="S21" s="60" t="n">
        <x:f>Q21*'Summary'!$J$12</x:f>
        <x:v>0.02</x:v>
      </x:c>
    </x:row>
    <x:row r="22" ht="25" customHeight="1">
      <x:c r="C22" s="32" t="n">
        <x:v>17</x:v>
      </x:c>
      <x:c r="D22" s="32" t="n">
        <x:v>2</x:v>
      </x:c>
      <x:c r="E22" s="32" t="str">
        <x:v>Burnt Sienna &amp; Terracotta</x:v>
      </x:c>
      <x:c r="F22" s="75" t="str">
        <x:v>#993333</x:v>
      </x:c>
      <x:c r="G22" s="38" t="str">
        <x:v>Growth</x:v>
      </x:c>
      <x:c r="H22" s="475" t="n">
        <x:f>'Seasons'!F7</x:f>
        <x:v>1000</x:v>
      </x:c>
      <x:c r="I22" s="35" t="n">
        <x:f>'Seasons'!G7</x:f>
        <x:v>0.01</x:v>
      </x:c>
      <x:c r="J22" s="37" t="n">
        <x:f>H22*I22</x:f>
        <x:v>10</x:v>
      </x:c>
      <x:c r="K22" s="35" t="n">
        <x:f>J22*'Seasons'!H7</x:f>
        <x:v>4</x:v>
      </x:c>
      <x:c r="L22" s="35" t="n">
        <x:f>J22*'Seasons'!I7</x:f>
        <x:v>2</x:v>
      </x:c>
      <x:c r="M22" s="35" t="n">
        <x:f>J22*IF(G22="Growth",'Summary'!$J$9,IF(G22="Standard",'Summary'!$J$10,NA()))</x:f>
        <x:v>2</x:v>
      </x:c>
      <x:c r="N22" s="37" t="n">
        <x:f>J22-SUM(K22:M22)</x:f>
        <x:v>2</x:v>
      </x:c>
      <x:c r="O22" s="475" t="n">
        <x:f>'Summary'!$J$21</x:f>
        <x:v>10</x:v>
      </x:c>
      <x:c r="P22" s="475" t="n">
        <x:f>'Summary'!$J$22</x:f>
        <x:v>100</x:v>
      </x:c>
      <x:c r="Q22" s="475" t="n">
        <x:f>'Summary'!$J$24</x:f>
        <x:v>2</x:v>
      </x:c>
      <x:c r="R22" s="481" t="n">
        <x:f>Q22/H22</x:f>
        <x:v>0.002</x:v>
      </x:c>
      <x:c r="S22" s="35" t="n">
        <x:f>Q22*'Summary'!$J$12</x:f>
        <x:v>0.02</x:v>
      </x:c>
    </x:row>
    <x:row r="23" ht="25" customHeight="1">
      <x:c r="C23" s="2" t="n">
        <x:v>18</x:v>
      </x:c>
      <x:c r="D23" s="2" t="n">
        <x:v>2</x:v>
      </x:c>
      <x:c r="E23" s="2" t="str">
        <x:v>Burnt Sienna &amp; Terracotta</x:v>
      </x:c>
      <x:c r="F23" s="77" t="str">
        <x:v>#CC3333</x:v>
      </x:c>
      <x:c r="G23" s="38" t="str">
        <x:v>Growth</x:v>
      </x:c>
      <x:c r="H23" s="477" t="n">
        <x:f>'Seasons'!F7</x:f>
        <x:v>1000</x:v>
      </x:c>
      <x:c r="I23" s="60" t="n">
        <x:f>'Seasons'!G7</x:f>
        <x:v>0.01</x:v>
      </x:c>
      <x:c r="J23" s="12" t="n">
        <x:f>H23*I23</x:f>
        <x:v>10</x:v>
      </x:c>
      <x:c r="K23" s="60" t="n">
        <x:f>J23*'Seasons'!H7</x:f>
        <x:v>4</x:v>
      </x:c>
      <x:c r="L23" s="60" t="n">
        <x:f>J23*'Seasons'!I7</x:f>
        <x:v>2</x:v>
      </x:c>
      <x:c r="M23" s="60" t="n">
        <x:f>J23*IF(G23="Growth",'Summary'!$J$9,IF(G23="Standard",'Summary'!$J$10,NA()))</x:f>
        <x:v>2</x:v>
      </x:c>
      <x:c r="N23" s="12" t="n">
        <x:f>J23-SUM(K23:M23)</x:f>
        <x:v>2</x:v>
      </x:c>
      <x:c r="O23" s="477" t="n">
        <x:f>'Summary'!$J$21</x:f>
        <x:v>10</x:v>
      </x:c>
      <x:c r="P23" s="477" t="n">
        <x:f>'Summary'!$J$22</x:f>
        <x:v>100</x:v>
      </x:c>
      <x:c r="Q23" s="477" t="n">
        <x:f>'Summary'!$J$24</x:f>
        <x:v>2</x:v>
      </x:c>
      <x:c r="R23" s="482" t="n">
        <x:f>Q23/H23</x:f>
        <x:v>0.002</x:v>
      </x:c>
      <x:c r="S23" s="60" t="n">
        <x:f>Q23*'Summary'!$J$12</x:f>
        <x:v>0.02</x:v>
      </x:c>
    </x:row>
    <x:row r="24" ht="25" customHeight="1">
      <x:c r="C24" s="32" t="n">
        <x:v>19</x:v>
      </x:c>
      <x:c r="D24" s="32" t="n">
        <x:v>2</x:v>
      </x:c>
      <x:c r="E24" s="32" t="str">
        <x:v>Burnt Sienna &amp; Terracotta</x:v>
      </x:c>
      <x:c r="F24" s="79" t="str">
        <x:v>#FF3333</x:v>
      </x:c>
      <x:c r="G24" s="38" t="str">
        <x:v>Growth</x:v>
      </x:c>
      <x:c r="H24" s="475" t="n">
        <x:f>'Seasons'!F7</x:f>
        <x:v>1000</x:v>
      </x:c>
      <x:c r="I24" s="35" t="n">
        <x:f>'Seasons'!G7</x:f>
        <x:v>0.01</x:v>
      </x:c>
      <x:c r="J24" s="37" t="n">
        <x:f>H24*I24</x:f>
        <x:v>10</x:v>
      </x:c>
      <x:c r="K24" s="35" t="n">
        <x:f>J24*'Seasons'!H7</x:f>
        <x:v>4</x:v>
      </x:c>
      <x:c r="L24" s="35" t="n">
        <x:f>J24*'Seasons'!I7</x:f>
        <x:v>2</x:v>
      </x:c>
      <x:c r="M24" s="35" t="n">
        <x:f>J24*IF(G24="Growth",'Summary'!$J$9,IF(G24="Standard",'Summary'!$J$10,NA()))</x:f>
        <x:v>2</x:v>
      </x:c>
      <x:c r="N24" s="37" t="n">
        <x:f>J24-SUM(K24:M24)</x:f>
        <x:v>2</x:v>
      </x:c>
      <x:c r="O24" s="475" t="n">
        <x:f>'Summary'!$J$21</x:f>
        <x:v>10</x:v>
      </x:c>
      <x:c r="P24" s="475" t="n">
        <x:f>'Summary'!$J$22</x:f>
        <x:v>100</x:v>
      </x:c>
      <x:c r="Q24" s="475" t="n">
        <x:f>'Summary'!$J$24</x:f>
        <x:v>2</x:v>
      </x:c>
      <x:c r="R24" s="481" t="n">
        <x:f>Q24/H24</x:f>
        <x:v>0.002</x:v>
      </x:c>
      <x:c r="S24" s="35" t="n">
        <x:f>Q24*'Summary'!$J$12</x:f>
        <x:v>0.02</x:v>
      </x:c>
    </x:row>
    <x:row r="25" ht="25" customHeight="1">
      <x:c r="C25" s="2" t="n">
        <x:v>20</x:v>
      </x:c>
      <x:c r="D25" s="2" t="n">
        <x:v>2</x:v>
      </x:c>
      <x:c r="E25" s="2" t="str">
        <x:v>Burnt Sienna &amp; Terracotta</x:v>
      </x:c>
      <x:c r="F25" s="81" t="str">
        <x:v>#996633</x:v>
      </x:c>
      <x:c r="G25" s="38" t="str">
        <x:v>Growth</x:v>
      </x:c>
      <x:c r="H25" s="477" t="n">
        <x:f>'Seasons'!F7</x:f>
        <x:v>1000</x:v>
      </x:c>
      <x:c r="I25" s="60" t="n">
        <x:f>'Seasons'!G7</x:f>
        <x:v>0.01</x:v>
      </x:c>
      <x:c r="J25" s="12" t="n">
        <x:f>H25*I25</x:f>
        <x:v>10</x:v>
      </x:c>
      <x:c r="K25" s="60" t="n">
        <x:f>J25*'Seasons'!H7</x:f>
        <x:v>4</x:v>
      </x:c>
      <x:c r="L25" s="60" t="n">
        <x:f>J25*'Seasons'!I7</x:f>
        <x:v>2</x:v>
      </x:c>
      <x:c r="M25" s="60" t="n">
        <x:f>J25*IF(G25="Growth",'Summary'!$J$9,IF(G25="Standard",'Summary'!$J$10,NA()))</x:f>
        <x:v>2</x:v>
      </x:c>
      <x:c r="N25" s="12" t="n">
        <x:f>J25-SUM(K25:M25)</x:f>
        <x:v>2</x:v>
      </x:c>
      <x:c r="O25" s="477" t="n">
        <x:f>'Summary'!$J$21</x:f>
        <x:v>10</x:v>
      </x:c>
      <x:c r="P25" s="477" t="n">
        <x:f>'Summary'!$J$22</x:f>
        <x:v>100</x:v>
      </x:c>
      <x:c r="Q25" s="477" t="n">
        <x:f>'Summary'!$J$24</x:f>
        <x:v>2</x:v>
      </x:c>
      <x:c r="R25" s="482" t="n">
        <x:f>Q25/H25</x:f>
        <x:v>0.002</x:v>
      </x:c>
      <x:c r="S25" s="60" t="n">
        <x:f>Q25*'Summary'!$J$12</x:f>
        <x:v>0.02</x:v>
      </x:c>
    </x:row>
    <x:row r="26" ht="25" customHeight="1">
      <x:c r="C26" s="32" t="n">
        <x:v>21</x:v>
      </x:c>
      <x:c r="D26" s="32" t="n">
        <x:v>3</x:v>
      </x:c>
      <x:c r="E26" s="32" t="str">
        <x:v>Desert Sand &amp; Warm Amber</x:v>
      </x:c>
      <x:c r="F26" s="83" t="str">
        <x:v>#CC6633</x:v>
      </x:c>
      <x:c r="G26" s="38" t="str">
        <x:v>Growth</x:v>
      </x:c>
      <x:c r="H26" s="475" t="n">
        <x:f>'Seasons'!F8</x:f>
        <x:v>1000</x:v>
      </x:c>
      <x:c r="I26" s="35" t="n">
        <x:f>'Seasons'!G8</x:f>
        <x:v>0.01</x:v>
      </x:c>
      <x:c r="J26" s="37" t="n">
        <x:f>H26*I26</x:f>
        <x:v>10</x:v>
      </x:c>
      <x:c r="K26" s="35" t="n">
        <x:f>J26*'Seasons'!H8</x:f>
        <x:v>4</x:v>
      </x:c>
      <x:c r="L26" s="35" t="n">
        <x:f>J26*'Seasons'!I8</x:f>
        <x:v>2</x:v>
      </x:c>
      <x:c r="M26" s="35" t="n">
        <x:f>J26*IF(G26="Growth",'Summary'!$J$9,IF(G26="Standard",'Summary'!$J$10,NA()))</x:f>
        <x:v>2</x:v>
      </x:c>
      <x:c r="N26" s="37" t="n">
        <x:f>J26-SUM(K26:M26)</x:f>
        <x:v>2</x:v>
      </x:c>
      <x:c r="O26" s="475" t="n">
        <x:f>'Summary'!$J$21</x:f>
        <x:v>10</x:v>
      </x:c>
      <x:c r="P26" s="475" t="n">
        <x:f>'Summary'!$J$22</x:f>
        <x:v>100</x:v>
      </x:c>
      <x:c r="Q26" s="475" t="n">
        <x:f>'Summary'!$J$24</x:f>
        <x:v>2</x:v>
      </x:c>
      <x:c r="R26" s="481" t="n">
        <x:f>Q26/H26</x:f>
        <x:v>0.002</x:v>
      </x:c>
      <x:c r="S26" s="35" t="n">
        <x:f>Q26*'Summary'!$J$12</x:f>
        <x:v>0.02</x:v>
      </x:c>
    </x:row>
    <x:row r="27" ht="25" customHeight="1">
      <x:c r="C27" s="2" t="n">
        <x:v>22</x:v>
      </x:c>
      <x:c r="D27" s="2" t="n">
        <x:v>3</x:v>
      </x:c>
      <x:c r="E27" s="2" t="str">
        <x:v>Desert Sand &amp; Warm Amber</x:v>
      </x:c>
      <x:c r="F27" s="85" t="str">
        <x:v>#FF6633</x:v>
      </x:c>
      <x:c r="G27" s="38" t="str">
        <x:v>Growth</x:v>
      </x:c>
      <x:c r="H27" s="477" t="n">
        <x:f>'Seasons'!F8</x:f>
        <x:v>1000</x:v>
      </x:c>
      <x:c r="I27" s="60" t="n">
        <x:f>'Seasons'!G8</x:f>
        <x:v>0.01</x:v>
      </x:c>
      <x:c r="J27" s="12" t="n">
        <x:f>H27*I27</x:f>
        <x:v>10</x:v>
      </x:c>
      <x:c r="K27" s="60" t="n">
        <x:f>J27*'Seasons'!H8</x:f>
        <x:v>4</x:v>
      </x:c>
      <x:c r="L27" s="60" t="n">
        <x:f>J27*'Seasons'!I8</x:f>
        <x:v>2</x:v>
      </x:c>
      <x:c r="M27" s="60" t="n">
        <x:f>J27*IF(G27="Growth",'Summary'!$J$9,IF(G27="Standard",'Summary'!$J$10,NA()))</x:f>
        <x:v>2</x:v>
      </x:c>
      <x:c r="N27" s="12" t="n">
        <x:f>J27-SUM(K27:M27)</x:f>
        <x:v>2</x:v>
      </x:c>
      <x:c r="O27" s="477" t="n">
        <x:f>'Summary'!$J$21</x:f>
        <x:v>10</x:v>
      </x:c>
      <x:c r="P27" s="477" t="n">
        <x:f>'Summary'!$J$22</x:f>
        <x:v>100</x:v>
      </x:c>
      <x:c r="Q27" s="477" t="n">
        <x:f>'Summary'!$J$24</x:f>
        <x:v>2</x:v>
      </x:c>
      <x:c r="R27" s="482" t="n">
        <x:f>Q27/H27</x:f>
        <x:v>0.002</x:v>
      </x:c>
      <x:c r="S27" s="60" t="n">
        <x:f>Q27*'Summary'!$J$12</x:f>
        <x:v>0.02</x:v>
      </x:c>
    </x:row>
    <x:row r="28" ht="25" customHeight="1">
      <x:c r="C28" s="32" t="n">
        <x:v>23</x:v>
      </x:c>
      <x:c r="D28" s="32" t="n">
        <x:v>3</x:v>
      </x:c>
      <x:c r="E28" s="32" t="str">
        <x:v>Desert Sand &amp; Warm Amber</x:v>
      </x:c>
      <x:c r="F28" s="87" t="str">
        <x:v>#CC9933</x:v>
      </x:c>
      <x:c r="G28" s="38" t="str">
        <x:v>Growth</x:v>
      </x:c>
      <x:c r="H28" s="475" t="n">
        <x:f>'Seasons'!F8</x:f>
        <x:v>1000</x:v>
      </x:c>
      <x:c r="I28" s="35" t="n">
        <x:f>'Seasons'!G8</x:f>
        <x:v>0.01</x:v>
      </x:c>
      <x:c r="J28" s="37" t="n">
        <x:f>H28*I28</x:f>
        <x:v>10</x:v>
      </x:c>
      <x:c r="K28" s="35" t="n">
        <x:f>J28*'Seasons'!H8</x:f>
        <x:v>4</x:v>
      </x:c>
      <x:c r="L28" s="35" t="n">
        <x:f>J28*'Seasons'!I8</x:f>
        <x:v>2</x:v>
      </x:c>
      <x:c r="M28" s="35" t="n">
        <x:f>J28*IF(G28="Growth",'Summary'!$J$9,IF(G28="Standard",'Summary'!$J$10,NA()))</x:f>
        <x:v>2</x:v>
      </x:c>
      <x:c r="N28" s="37" t="n">
        <x:f>J28-SUM(K28:M28)</x:f>
        <x:v>2</x:v>
      </x:c>
      <x:c r="O28" s="475" t="n">
        <x:f>'Summary'!$J$21</x:f>
        <x:v>10</x:v>
      </x:c>
      <x:c r="P28" s="475" t="n">
        <x:f>'Summary'!$J$22</x:f>
        <x:v>100</x:v>
      </x:c>
      <x:c r="Q28" s="475" t="n">
        <x:f>'Summary'!$J$24</x:f>
        <x:v>2</x:v>
      </x:c>
      <x:c r="R28" s="481" t="n">
        <x:f>Q28/H28</x:f>
        <x:v>0.002</x:v>
      </x:c>
      <x:c r="S28" s="35" t="n">
        <x:f>Q28*'Summary'!$J$12</x:f>
        <x:v>0.02</x:v>
      </x:c>
    </x:row>
    <x:row r="29" ht="25" customHeight="1">
      <x:c r="C29" s="2" t="n">
        <x:v>24</x:v>
      </x:c>
      <x:c r="D29" s="2" t="n">
        <x:v>3</x:v>
      </x:c>
      <x:c r="E29" s="2" t="str">
        <x:v>Desert Sand &amp; Warm Amber</x:v>
      </x:c>
      <x:c r="F29" s="89" t="str">
        <x:v>#FF9933</x:v>
      </x:c>
      <x:c r="G29" s="38" t="str">
        <x:v>Growth</x:v>
      </x:c>
      <x:c r="H29" s="477" t="n">
        <x:f>'Seasons'!F8</x:f>
        <x:v>1000</x:v>
      </x:c>
      <x:c r="I29" s="60" t="n">
        <x:f>'Seasons'!G8</x:f>
        <x:v>0.01</x:v>
      </x:c>
      <x:c r="J29" s="12" t="n">
        <x:f>H29*I29</x:f>
        <x:v>10</x:v>
      </x:c>
      <x:c r="K29" s="60" t="n">
        <x:f>J29*'Seasons'!H8</x:f>
        <x:v>4</x:v>
      </x:c>
      <x:c r="L29" s="60" t="n">
        <x:f>J29*'Seasons'!I8</x:f>
        <x:v>2</x:v>
      </x:c>
      <x:c r="M29" s="60" t="n">
        <x:f>J29*IF(G29="Growth",'Summary'!$J$9,IF(G29="Standard",'Summary'!$J$10,NA()))</x:f>
        <x:v>2</x:v>
      </x:c>
      <x:c r="N29" s="12" t="n">
        <x:f>J29-SUM(K29:M29)</x:f>
        <x:v>2</x:v>
      </x:c>
      <x:c r="O29" s="477" t="n">
        <x:f>'Summary'!$J$21</x:f>
        <x:v>10</x:v>
      </x:c>
      <x:c r="P29" s="477" t="n">
        <x:f>'Summary'!$J$22</x:f>
        <x:v>100</x:v>
      </x:c>
      <x:c r="Q29" s="477" t="n">
        <x:f>'Summary'!$J$24</x:f>
        <x:v>2</x:v>
      </x:c>
      <x:c r="R29" s="482" t="n">
        <x:f>Q29/H29</x:f>
        <x:v>0.002</x:v>
      </x:c>
      <x:c r="S29" s="60" t="n">
        <x:f>Q29*'Summary'!$J$12</x:f>
        <x:v>0.02</x:v>
      </x:c>
    </x:row>
    <x:row r="30" ht="25" customHeight="1">
      <x:c r="C30" s="32" t="n">
        <x:v>25</x:v>
      </x:c>
      <x:c r="D30" s="32" t="n">
        <x:v>3</x:v>
      </x:c>
      <x:c r="E30" s="32" t="str">
        <x:v>Desert Sand &amp; Warm Amber</x:v>
      </x:c>
      <x:c r="F30" s="91" t="str">
        <x:v>#FFCC33</x:v>
      </x:c>
      <x:c r="G30" s="38" t="str">
        <x:v>Growth</x:v>
      </x:c>
      <x:c r="H30" s="475" t="n">
        <x:f>'Seasons'!F8</x:f>
        <x:v>1000</x:v>
      </x:c>
      <x:c r="I30" s="35" t="n">
        <x:f>'Seasons'!G8</x:f>
        <x:v>0.01</x:v>
      </x:c>
      <x:c r="J30" s="37" t="n">
        <x:f>H30*I30</x:f>
        <x:v>10</x:v>
      </x:c>
      <x:c r="K30" s="35" t="n">
        <x:f>J30*'Seasons'!H8</x:f>
        <x:v>4</x:v>
      </x:c>
      <x:c r="L30" s="35" t="n">
        <x:f>J30*'Seasons'!I8</x:f>
        <x:v>2</x:v>
      </x:c>
      <x:c r="M30" s="35" t="n">
        <x:f>J30*IF(G30="Growth",'Summary'!$J$9,IF(G30="Standard",'Summary'!$J$10,NA()))</x:f>
        <x:v>2</x:v>
      </x:c>
      <x:c r="N30" s="37" t="n">
        <x:f>J30-SUM(K30:M30)</x:f>
        <x:v>2</x:v>
      </x:c>
      <x:c r="O30" s="475" t="n">
        <x:f>'Summary'!$J$21</x:f>
        <x:v>10</x:v>
      </x:c>
      <x:c r="P30" s="475" t="n">
        <x:f>'Summary'!$J$22</x:f>
        <x:v>100</x:v>
      </x:c>
      <x:c r="Q30" s="475" t="n">
        <x:f>'Summary'!$J$24</x:f>
        <x:v>2</x:v>
      </x:c>
      <x:c r="R30" s="481" t="n">
        <x:f>Q30/H30</x:f>
        <x:v>0.002</x:v>
      </x:c>
      <x:c r="S30" s="35" t="n">
        <x:f>Q30*'Summary'!$J$12</x:f>
        <x:v>0.02</x:v>
      </x:c>
    </x:row>
    <x:row r="31" ht="25" customHeight="1">
      <x:c r="C31" s="2" t="n">
        <x:v>26</x:v>
      </x:c>
      <x:c r="D31" s="2" t="n">
        <x:v>3</x:v>
      </x:c>
      <x:c r="E31" s="2" t="str">
        <x:v>Desert Sand &amp; Warm Amber</x:v>
      </x:c>
      <x:c r="F31" s="93" t="str">
        <x:v>#996666</x:v>
      </x:c>
      <x:c r="G31" s="38" t="str">
        <x:v>Growth</x:v>
      </x:c>
      <x:c r="H31" s="477" t="n">
        <x:f>'Seasons'!F8</x:f>
        <x:v>1000</x:v>
      </x:c>
      <x:c r="I31" s="60" t="n">
        <x:f>'Seasons'!G8</x:f>
        <x:v>0.01</x:v>
      </x:c>
      <x:c r="J31" s="12" t="n">
        <x:f>H31*I31</x:f>
        <x:v>10</x:v>
      </x:c>
      <x:c r="K31" s="60" t="n">
        <x:f>J31*'Seasons'!H8</x:f>
        <x:v>4</x:v>
      </x:c>
      <x:c r="L31" s="60" t="n">
        <x:f>J31*'Seasons'!I8</x:f>
        <x:v>2</x:v>
      </x:c>
      <x:c r="M31" s="60" t="n">
        <x:f>J31*IF(G31="Growth",'Summary'!$J$9,IF(G31="Standard",'Summary'!$J$10,NA()))</x:f>
        <x:v>2</x:v>
      </x:c>
      <x:c r="N31" s="12" t="n">
        <x:f>J31-SUM(K31:M31)</x:f>
        <x:v>2</x:v>
      </x:c>
      <x:c r="O31" s="477" t="n">
        <x:f>'Summary'!$J$21</x:f>
        <x:v>10</x:v>
      </x:c>
      <x:c r="P31" s="477" t="n">
        <x:f>'Summary'!$J$22</x:f>
        <x:v>100</x:v>
      </x:c>
      <x:c r="Q31" s="477" t="n">
        <x:f>'Summary'!$J$24</x:f>
        <x:v>2</x:v>
      </x:c>
      <x:c r="R31" s="482" t="n">
        <x:f>Q31/H31</x:f>
        <x:v>0.002</x:v>
      </x:c>
      <x:c r="S31" s="60" t="n">
        <x:f>Q31*'Summary'!$J$12</x:f>
        <x:v>0.02</x:v>
      </x:c>
    </x:row>
    <x:row r="32" ht="25" customHeight="1">
      <x:c r="C32" s="32" t="n">
        <x:v>27</x:v>
      </x:c>
      <x:c r="D32" s="32" t="n">
        <x:v>3</x:v>
      </x:c>
      <x:c r="E32" s="32" t="str">
        <x:v>Desert Sand &amp; Warm Amber</x:v>
      </x:c>
      <x:c r="F32" s="95" t="str">
        <x:v>#CC6666</x:v>
      </x:c>
      <x:c r="G32" s="38" t="str">
        <x:v>Growth</x:v>
      </x:c>
      <x:c r="H32" s="475" t="n">
        <x:f>'Seasons'!F8</x:f>
        <x:v>1000</x:v>
      </x:c>
      <x:c r="I32" s="35" t="n">
        <x:f>'Seasons'!G8</x:f>
        <x:v>0.01</x:v>
      </x:c>
      <x:c r="J32" s="37" t="n">
        <x:f>H32*I32</x:f>
        <x:v>10</x:v>
      </x:c>
      <x:c r="K32" s="35" t="n">
        <x:f>J32*'Seasons'!H8</x:f>
        <x:v>4</x:v>
      </x:c>
      <x:c r="L32" s="35" t="n">
        <x:f>J32*'Seasons'!I8</x:f>
        <x:v>2</x:v>
      </x:c>
      <x:c r="M32" s="35" t="n">
        <x:f>J32*IF(G32="Growth",'Summary'!$J$9,IF(G32="Standard",'Summary'!$J$10,NA()))</x:f>
        <x:v>2</x:v>
      </x:c>
      <x:c r="N32" s="37" t="n">
        <x:f>J32-SUM(K32:M32)</x:f>
        <x:v>2</x:v>
      </x:c>
      <x:c r="O32" s="475" t="n">
        <x:f>'Summary'!$J$21</x:f>
        <x:v>10</x:v>
      </x:c>
      <x:c r="P32" s="475" t="n">
        <x:f>'Summary'!$J$22</x:f>
        <x:v>100</x:v>
      </x:c>
      <x:c r="Q32" s="475" t="n">
        <x:f>'Summary'!$J$24</x:f>
        <x:v>2</x:v>
      </x:c>
      <x:c r="R32" s="481" t="n">
        <x:f>Q32/H32</x:f>
        <x:v>0.002</x:v>
      </x:c>
      <x:c r="S32" s="35" t="n">
        <x:f>Q32*'Summary'!$J$12</x:f>
        <x:v>0.02</x:v>
      </x:c>
    </x:row>
    <x:row r="33" ht="25" customHeight="1">
      <x:c r="C33" s="2" t="n">
        <x:v>28</x:v>
      </x:c>
      <x:c r="D33" s="2" t="n">
        <x:v>3</x:v>
      </x:c>
      <x:c r="E33" s="2" t="str">
        <x:v>Desert Sand &amp; Warm Amber</x:v>
      </x:c>
      <x:c r="F33" s="97" t="str">
        <x:v>#FF6666</x:v>
      </x:c>
      <x:c r="G33" s="38" t="str">
        <x:v>Growth</x:v>
      </x:c>
      <x:c r="H33" s="477" t="n">
        <x:f>'Seasons'!F8</x:f>
        <x:v>1000</x:v>
      </x:c>
      <x:c r="I33" s="60" t="n">
        <x:f>'Seasons'!G8</x:f>
        <x:v>0.01</x:v>
      </x:c>
      <x:c r="J33" s="12" t="n">
        <x:f>H33*I33</x:f>
        <x:v>10</x:v>
      </x:c>
      <x:c r="K33" s="60" t="n">
        <x:f>J33*'Seasons'!H8</x:f>
        <x:v>4</x:v>
      </x:c>
      <x:c r="L33" s="60" t="n">
        <x:f>J33*'Seasons'!I8</x:f>
        <x:v>2</x:v>
      </x:c>
      <x:c r="M33" s="60" t="n">
        <x:f>J33*IF(G33="Growth",'Summary'!$J$9,IF(G33="Standard",'Summary'!$J$10,NA()))</x:f>
        <x:v>2</x:v>
      </x:c>
      <x:c r="N33" s="12" t="n">
        <x:f>J33-SUM(K33:M33)</x:f>
        <x:v>2</x:v>
      </x:c>
      <x:c r="O33" s="477" t="n">
        <x:f>'Summary'!$J$21</x:f>
        <x:v>10</x:v>
      </x:c>
      <x:c r="P33" s="477" t="n">
        <x:f>'Summary'!$J$22</x:f>
        <x:v>100</x:v>
      </x:c>
      <x:c r="Q33" s="477" t="n">
        <x:f>'Summary'!$J$24</x:f>
        <x:v>2</x:v>
      </x:c>
      <x:c r="R33" s="482" t="n">
        <x:f>Q33/H33</x:f>
        <x:v>0.002</x:v>
      </x:c>
      <x:c r="S33" s="60" t="n">
        <x:f>Q33*'Summary'!$J$12</x:f>
        <x:v>0.02</x:v>
      </x:c>
    </x:row>
    <x:row r="34" ht="25" customHeight="1">
      <x:c r="C34" s="32" t="n">
        <x:v>29</x:v>
      </x:c>
      <x:c r="D34" s="32" t="n">
        <x:v>3</x:v>
      </x:c>
      <x:c r="E34" s="32" t="str">
        <x:v>Desert Sand &amp; Warm Amber</x:v>
      </x:c>
      <x:c r="F34" s="99" t="str">
        <x:v>#CC9966</x:v>
      </x:c>
      <x:c r="G34" s="38" t="str">
        <x:v>Growth</x:v>
      </x:c>
      <x:c r="H34" s="475" t="n">
        <x:f>'Seasons'!F8</x:f>
        <x:v>1000</x:v>
      </x:c>
      <x:c r="I34" s="35" t="n">
        <x:f>'Seasons'!G8</x:f>
        <x:v>0.01</x:v>
      </x:c>
      <x:c r="J34" s="37" t="n">
        <x:f>H34*I34</x:f>
        <x:v>10</x:v>
      </x:c>
      <x:c r="K34" s="35" t="n">
        <x:f>J34*'Seasons'!H8</x:f>
        <x:v>4</x:v>
      </x:c>
      <x:c r="L34" s="35" t="n">
        <x:f>J34*'Seasons'!I8</x:f>
        <x:v>2</x:v>
      </x:c>
      <x:c r="M34" s="35" t="n">
        <x:f>J34*IF(G34="Growth",'Summary'!$J$9,IF(G34="Standard",'Summary'!$J$10,NA()))</x:f>
        <x:v>2</x:v>
      </x:c>
      <x:c r="N34" s="37" t="n">
        <x:f>J34-SUM(K34:M34)</x:f>
        <x:v>2</x:v>
      </x:c>
      <x:c r="O34" s="475" t="n">
        <x:f>'Summary'!$J$21</x:f>
        <x:v>10</x:v>
      </x:c>
      <x:c r="P34" s="475" t="n">
        <x:f>'Summary'!$J$22</x:f>
        <x:v>100</x:v>
      </x:c>
      <x:c r="Q34" s="475" t="n">
        <x:f>'Summary'!$J$24</x:f>
        <x:v>2</x:v>
      </x:c>
      <x:c r="R34" s="481" t="n">
        <x:f>Q34/H34</x:f>
        <x:v>0.002</x:v>
      </x:c>
      <x:c r="S34" s="35" t="n">
        <x:f>Q34*'Summary'!$J$12</x:f>
        <x:v>0.02</x:v>
      </x:c>
    </x:row>
    <x:row r="35" ht="25" customHeight="1">
      <x:c r="C35" s="2" t="n">
        <x:v>30</x:v>
      </x:c>
      <x:c r="D35" s="2" t="n">
        <x:v>3</x:v>
      </x:c>
      <x:c r="E35" s="2" t="str">
        <x:v>Desert Sand &amp; Warm Amber</x:v>
      </x:c>
      <x:c r="F35" s="101" t="str">
        <x:v>#FF9966</x:v>
      </x:c>
      <x:c r="G35" s="38" t="str">
        <x:v>Growth</x:v>
      </x:c>
      <x:c r="H35" s="477" t="n">
        <x:f>'Seasons'!F8</x:f>
        <x:v>1000</x:v>
      </x:c>
      <x:c r="I35" s="60" t="n">
        <x:f>'Seasons'!G8</x:f>
        <x:v>0.01</x:v>
      </x:c>
      <x:c r="J35" s="12" t="n">
        <x:f>H35*I35</x:f>
        <x:v>10</x:v>
      </x:c>
      <x:c r="K35" s="60" t="n">
        <x:f>J35*'Seasons'!H8</x:f>
        <x:v>4</x:v>
      </x:c>
      <x:c r="L35" s="60" t="n">
        <x:f>J35*'Seasons'!I8</x:f>
        <x:v>2</x:v>
      </x:c>
      <x:c r="M35" s="60" t="n">
        <x:f>J35*IF(G35="Growth",'Summary'!$J$9,IF(G35="Standard",'Summary'!$J$10,NA()))</x:f>
        <x:v>2</x:v>
      </x:c>
      <x:c r="N35" s="12" t="n">
        <x:f>J35-SUM(K35:M35)</x:f>
        <x:v>2</x:v>
      </x:c>
      <x:c r="O35" s="477" t="n">
        <x:f>'Summary'!$J$21</x:f>
        <x:v>10</x:v>
      </x:c>
      <x:c r="P35" s="477" t="n">
        <x:f>'Summary'!$J$22</x:f>
        <x:v>100</x:v>
      </x:c>
      <x:c r="Q35" s="477" t="n">
        <x:f>'Summary'!$J$24</x:f>
        <x:v>2</x:v>
      </x:c>
      <x:c r="R35" s="482" t="n">
        <x:f>Q35/H35</x:f>
        <x:v>0.002</x:v>
      </x:c>
      <x:c r="S35" s="60" t="n">
        <x:f>Q35*'Summary'!$J$12</x:f>
        <x:v>0.02</x:v>
      </x:c>
    </x:row>
    <x:row r="36" ht="25" customHeight="1">
      <x:c r="C36" s="32" t="n">
        <x:v>31</x:v>
      </x:c>
      <x:c r="D36" s="32" t="n">
        <x:v>4</x:v>
      </x:c>
      <x:c r="E36" s="32" t="str">
        <x:v>Solar Yellow &amp; Pastel Gold</x:v>
      </x:c>
      <x:c r="F36" s="103" t="str">
        <x:v>#FFFF00</x:v>
      </x:c>
      <x:c r="G36" s="38" t="str">
        <x:v>Growth</x:v>
      </x:c>
      <x:c r="H36" s="475" t="n">
        <x:f>'Seasons'!F9</x:f>
        <x:v>1000</x:v>
      </x:c>
      <x:c r="I36" s="35" t="n">
        <x:f>'Seasons'!G9</x:f>
        <x:v>0.01</x:v>
      </x:c>
      <x:c r="J36" s="37" t="n">
        <x:f>H36*I36</x:f>
        <x:v>10</x:v>
      </x:c>
      <x:c r="K36" s="35" t="n">
        <x:f>J36*'Seasons'!H9</x:f>
        <x:v>4</x:v>
      </x:c>
      <x:c r="L36" s="35" t="n">
        <x:f>J36*'Seasons'!I9</x:f>
        <x:v>2</x:v>
      </x:c>
      <x:c r="M36" s="35" t="n">
        <x:f>J36*IF(G36="Growth",'Summary'!$J$9,IF(G36="Standard",'Summary'!$J$10,NA()))</x:f>
        <x:v>2</x:v>
      </x:c>
      <x:c r="N36" s="37" t="n">
        <x:f>J36-SUM(K36:M36)</x:f>
        <x:v>2</x:v>
      </x:c>
      <x:c r="O36" s="475" t="n">
        <x:f>'Summary'!$J$21</x:f>
        <x:v>10</x:v>
      </x:c>
      <x:c r="P36" s="475" t="n">
        <x:f>'Summary'!$J$22</x:f>
        <x:v>100</x:v>
      </x:c>
      <x:c r="Q36" s="475" t="n">
        <x:f>'Summary'!$J$24</x:f>
        <x:v>2</x:v>
      </x:c>
      <x:c r="R36" s="481" t="n">
        <x:f>Q36/H36</x:f>
        <x:v>0.002</x:v>
      </x:c>
      <x:c r="S36" s="35" t="n">
        <x:f>Q36*'Summary'!$J$12</x:f>
        <x:v>0.02</x:v>
      </x:c>
    </x:row>
    <x:row r="37" ht="25" customHeight="1">
      <x:c r="C37" s="2" t="n">
        <x:v>32</x:v>
      </x:c>
      <x:c r="D37" s="2" t="n">
        <x:v>4</x:v>
      </x:c>
      <x:c r="E37" s="2" t="str">
        <x:v>Solar Yellow &amp; Pastel Gold</x:v>
      </x:c>
      <x:c r="F37" s="105" t="str">
        <x:v>#FFFF33</x:v>
      </x:c>
      <x:c r="G37" s="38" t="str">
        <x:v>Growth</x:v>
      </x:c>
      <x:c r="H37" s="477" t="n">
        <x:f>'Seasons'!F9</x:f>
        <x:v>1000</x:v>
      </x:c>
      <x:c r="I37" s="60" t="n">
        <x:f>'Seasons'!G9</x:f>
        <x:v>0.01</x:v>
      </x:c>
      <x:c r="J37" s="12" t="n">
        <x:f>H37*I37</x:f>
        <x:v>10</x:v>
      </x:c>
      <x:c r="K37" s="60" t="n">
        <x:f>J37*'Seasons'!H9</x:f>
        <x:v>4</x:v>
      </x:c>
      <x:c r="L37" s="60" t="n">
        <x:f>J37*'Seasons'!I9</x:f>
        <x:v>2</x:v>
      </x:c>
      <x:c r="M37" s="60" t="n">
        <x:f>J37*IF(G37="Growth",'Summary'!$J$9,IF(G37="Standard",'Summary'!$J$10,NA()))</x:f>
        <x:v>2</x:v>
      </x:c>
      <x:c r="N37" s="12" t="n">
        <x:f>J37-SUM(K37:M37)</x:f>
        <x:v>2</x:v>
      </x:c>
      <x:c r="O37" s="477" t="n">
        <x:f>'Summary'!$J$21</x:f>
        <x:v>10</x:v>
      </x:c>
      <x:c r="P37" s="477" t="n">
        <x:f>'Summary'!$J$22</x:f>
        <x:v>100</x:v>
      </x:c>
      <x:c r="Q37" s="477" t="n">
        <x:f>'Summary'!$J$24</x:f>
        <x:v>2</x:v>
      </x:c>
      <x:c r="R37" s="482" t="n">
        <x:f>Q37/H37</x:f>
        <x:v>0.002</x:v>
      </x:c>
      <x:c r="S37" s="60" t="n">
        <x:f>Q37*'Summary'!$J$12</x:f>
        <x:v>0.02</x:v>
      </x:c>
    </x:row>
    <x:row r="38" ht="25" customHeight="1">
      <x:c r="C38" s="32" t="n">
        <x:v>33</x:v>
      </x:c>
      <x:c r="D38" s="32" t="n">
        <x:v>4</x:v>
      </x:c>
      <x:c r="E38" s="32" t="str">
        <x:v>Solar Yellow &amp; Pastel Gold</x:v>
      </x:c>
      <x:c r="F38" s="107" t="str">
        <x:v>#FFFF66</x:v>
      </x:c>
      <x:c r="G38" s="38" t="str">
        <x:v>Growth</x:v>
      </x:c>
      <x:c r="H38" s="475" t="n">
        <x:f>'Seasons'!F9</x:f>
        <x:v>1000</x:v>
      </x:c>
      <x:c r="I38" s="35" t="n">
        <x:f>'Seasons'!G9</x:f>
        <x:v>0.01</x:v>
      </x:c>
      <x:c r="J38" s="37" t="n">
        <x:f>H38*I38</x:f>
        <x:v>10</x:v>
      </x:c>
      <x:c r="K38" s="35" t="n">
        <x:f>J38*'Seasons'!H9</x:f>
        <x:v>4</x:v>
      </x:c>
      <x:c r="L38" s="35" t="n">
        <x:f>J38*'Seasons'!I9</x:f>
        <x:v>2</x:v>
      </x:c>
      <x:c r="M38" s="35" t="n">
        <x:f>J38*IF(G38="Growth",'Summary'!$J$9,IF(G38="Standard",'Summary'!$J$10,NA()))</x:f>
        <x:v>2</x:v>
      </x:c>
      <x:c r="N38" s="37" t="n">
        <x:f>J38-SUM(K38:M38)</x:f>
        <x:v>2</x:v>
      </x:c>
      <x:c r="O38" s="475" t="n">
        <x:f>'Summary'!$J$21</x:f>
        <x:v>10</x:v>
      </x:c>
      <x:c r="P38" s="475" t="n">
        <x:f>'Summary'!$J$22</x:f>
        <x:v>100</x:v>
      </x:c>
      <x:c r="Q38" s="475" t="n">
        <x:f>'Summary'!$J$24</x:f>
        <x:v>2</x:v>
      </x:c>
      <x:c r="R38" s="481" t="n">
        <x:f>Q38/H38</x:f>
        <x:v>0.002</x:v>
      </x:c>
      <x:c r="S38" s="35" t="n">
        <x:f>Q38*'Summary'!$J$12</x:f>
        <x:v>0.02</x:v>
      </x:c>
    </x:row>
    <x:row r="39" ht="25" customHeight="1">
      <x:c r="C39" s="2" t="n">
        <x:v>34</x:v>
      </x:c>
      <x:c r="D39" s="2" t="n">
        <x:v>4</x:v>
      </x:c>
      <x:c r="E39" s="2" t="str">
        <x:v>Solar Yellow &amp; Pastel Gold</x:v>
      </x:c>
      <x:c r="F39" s="109" t="str">
        <x:v>#FFFF99</x:v>
      </x:c>
      <x:c r="G39" s="38" t="str">
        <x:v>Growth</x:v>
      </x:c>
      <x:c r="H39" s="477" t="n">
        <x:f>'Seasons'!F9</x:f>
        <x:v>1000</x:v>
      </x:c>
      <x:c r="I39" s="60" t="n">
        <x:f>'Seasons'!G9</x:f>
        <x:v>0.01</x:v>
      </x:c>
      <x:c r="J39" s="12" t="n">
        <x:f>H39*I39</x:f>
        <x:v>10</x:v>
      </x:c>
      <x:c r="K39" s="60" t="n">
        <x:f>J39*'Seasons'!H9</x:f>
        <x:v>4</x:v>
      </x:c>
      <x:c r="L39" s="60" t="n">
        <x:f>J39*'Seasons'!I9</x:f>
        <x:v>2</x:v>
      </x:c>
      <x:c r="M39" s="60" t="n">
        <x:f>J39*IF(G39="Growth",'Summary'!$J$9,IF(G39="Standard",'Summary'!$J$10,NA()))</x:f>
        <x:v>2</x:v>
      </x:c>
      <x:c r="N39" s="12" t="n">
        <x:f>J39-SUM(K39:M39)</x:f>
        <x:v>2</x:v>
      </x:c>
      <x:c r="O39" s="477" t="n">
        <x:f>'Summary'!$J$21</x:f>
        <x:v>10</x:v>
      </x:c>
      <x:c r="P39" s="477" t="n">
        <x:f>'Summary'!$J$22</x:f>
        <x:v>100</x:v>
      </x:c>
      <x:c r="Q39" s="477" t="n">
        <x:f>'Summary'!$J$24</x:f>
        <x:v>2</x:v>
      </x:c>
      <x:c r="R39" s="482" t="n">
        <x:f>Q39/H39</x:f>
        <x:v>0.002</x:v>
      </x:c>
      <x:c r="S39" s="60" t="n">
        <x:f>Q39*'Summary'!$J$12</x:f>
        <x:v>0.02</x:v>
      </x:c>
    </x:row>
    <x:row r="40" ht="25" customHeight="1">
      <x:c r="C40" s="32" t="n">
        <x:v>35</x:v>
      </x:c>
      <x:c r="D40" s="32" t="n">
        <x:v>4</x:v>
      </x:c>
      <x:c r="E40" s="32" t="str">
        <x:v>Solar Yellow &amp; Pastel Gold</x:v>
      </x:c>
      <x:c r="F40" s="111" t="str">
        <x:v>#FFFFCC</x:v>
      </x:c>
      <x:c r="G40" s="38" t="str">
        <x:v>Growth</x:v>
      </x:c>
      <x:c r="H40" s="475" t="n">
        <x:f>'Seasons'!F9</x:f>
        <x:v>1000</x:v>
      </x:c>
      <x:c r="I40" s="35" t="n">
        <x:f>'Seasons'!G9</x:f>
        <x:v>0.01</x:v>
      </x:c>
      <x:c r="J40" s="37" t="n">
        <x:f>H40*I40</x:f>
        <x:v>10</x:v>
      </x:c>
      <x:c r="K40" s="35" t="n">
        <x:f>J40*'Seasons'!H9</x:f>
        <x:v>4</x:v>
      </x:c>
      <x:c r="L40" s="35" t="n">
        <x:f>J40*'Seasons'!I9</x:f>
        <x:v>2</x:v>
      </x:c>
      <x:c r="M40" s="35" t="n">
        <x:f>J40*IF(G40="Growth",'Summary'!$J$9,IF(G40="Standard",'Summary'!$J$10,NA()))</x:f>
        <x:v>2</x:v>
      </x:c>
      <x:c r="N40" s="37" t="n">
        <x:f>J40-SUM(K40:M40)</x:f>
        <x:v>2</x:v>
      </x:c>
      <x:c r="O40" s="475" t="n">
        <x:f>'Summary'!$J$21</x:f>
        <x:v>10</x:v>
      </x:c>
      <x:c r="P40" s="475" t="n">
        <x:f>'Summary'!$J$22</x:f>
        <x:v>100</x:v>
      </x:c>
      <x:c r="Q40" s="475" t="n">
        <x:f>'Summary'!$J$24</x:f>
        <x:v>2</x:v>
      </x:c>
      <x:c r="R40" s="481" t="n">
        <x:f>Q40/H40</x:f>
        <x:v>0.002</x:v>
      </x:c>
      <x:c r="S40" s="35" t="n">
        <x:f>Q40*'Summary'!$J$12</x:f>
        <x:v>0.02</x:v>
      </x:c>
    </x:row>
    <x:row r="41" ht="25" customHeight="1">
      <x:c r="C41" s="2" t="n">
        <x:v>36</x:v>
      </x:c>
      <x:c r="D41" s="2" t="n">
        <x:v>4</x:v>
      </x:c>
      <x:c r="E41" s="2" t="str">
        <x:v>Solar Yellow &amp; Pastel Gold</x:v>
      </x:c>
      <x:c r="F41" s="113" t="str">
        <x:v>#CCCC00</x:v>
      </x:c>
      <x:c r="G41" s="38" t="str">
        <x:v>Growth</x:v>
      </x:c>
      <x:c r="H41" s="477" t="n">
        <x:f>'Seasons'!F9</x:f>
        <x:v>1000</x:v>
      </x:c>
      <x:c r="I41" s="60" t="n">
        <x:f>'Seasons'!G9</x:f>
        <x:v>0.01</x:v>
      </x:c>
      <x:c r="J41" s="12" t="n">
        <x:f>H41*I41</x:f>
        <x:v>10</x:v>
      </x:c>
      <x:c r="K41" s="60" t="n">
        <x:f>J41*'Seasons'!H9</x:f>
        <x:v>4</x:v>
      </x:c>
      <x:c r="L41" s="60" t="n">
        <x:f>J41*'Seasons'!I9</x:f>
        <x:v>2</x:v>
      </x:c>
      <x:c r="M41" s="60" t="n">
        <x:f>J41*IF(G41="Growth",'Summary'!$J$9,IF(G41="Standard",'Summary'!$J$10,NA()))</x:f>
        <x:v>2</x:v>
      </x:c>
      <x:c r="N41" s="12" t="n">
        <x:f>J41-SUM(K41:M41)</x:f>
        <x:v>2</x:v>
      </x:c>
      <x:c r="O41" s="477" t="n">
        <x:f>'Summary'!$J$21</x:f>
        <x:v>10</x:v>
      </x:c>
      <x:c r="P41" s="477" t="n">
        <x:f>'Summary'!$J$22</x:f>
        <x:v>100</x:v>
      </x:c>
      <x:c r="Q41" s="477" t="n">
        <x:f>'Summary'!$J$24</x:f>
        <x:v>2</x:v>
      </x:c>
      <x:c r="R41" s="482" t="n">
        <x:f>Q41/H41</x:f>
        <x:v>0.002</x:v>
      </x:c>
      <x:c r="S41" s="60" t="n">
        <x:f>Q41*'Summary'!$J$12</x:f>
        <x:v>0.02</x:v>
      </x:c>
    </x:row>
    <x:row r="42" ht="25" customHeight="1">
      <x:c r="C42" s="32" t="n">
        <x:v>37</x:v>
      </x:c>
      <x:c r="D42" s="32" t="n">
        <x:v>4</x:v>
      </x:c>
      <x:c r="E42" s="32" t="str">
        <x:v>Solar Yellow &amp; Pastel Gold</x:v>
      </x:c>
      <x:c r="F42" s="115" t="str">
        <x:v>#CCCC33</x:v>
      </x:c>
      <x:c r="G42" s="38" t="str">
        <x:v>Growth</x:v>
      </x:c>
      <x:c r="H42" s="475" t="n">
        <x:f>'Seasons'!F9</x:f>
        <x:v>1000</x:v>
      </x:c>
      <x:c r="I42" s="35" t="n">
        <x:f>'Seasons'!G9</x:f>
        <x:v>0.01</x:v>
      </x:c>
      <x:c r="J42" s="37" t="n">
        <x:f>H42*I42</x:f>
        <x:v>10</x:v>
      </x:c>
      <x:c r="K42" s="35" t="n">
        <x:f>J42*'Seasons'!H9</x:f>
        <x:v>4</x:v>
      </x:c>
      <x:c r="L42" s="35" t="n">
        <x:f>J42*'Seasons'!I9</x:f>
        <x:v>2</x:v>
      </x:c>
      <x:c r="M42" s="35" t="n">
        <x:f>J42*IF(G42="Growth",'Summary'!$J$9,IF(G42="Standard",'Summary'!$J$10,NA()))</x:f>
        <x:v>2</x:v>
      </x:c>
      <x:c r="N42" s="37" t="n">
        <x:f>J42-SUM(K42:M42)</x:f>
        <x:v>2</x:v>
      </x:c>
      <x:c r="O42" s="475" t="n">
        <x:f>'Summary'!$J$21</x:f>
        <x:v>10</x:v>
      </x:c>
      <x:c r="P42" s="475" t="n">
        <x:f>'Summary'!$J$22</x:f>
        <x:v>100</x:v>
      </x:c>
      <x:c r="Q42" s="475" t="n">
        <x:f>'Summary'!$J$24</x:f>
        <x:v>2</x:v>
      </x:c>
      <x:c r="R42" s="481" t="n">
        <x:f>Q42/H42</x:f>
        <x:v>0.002</x:v>
      </x:c>
      <x:c r="S42" s="35" t="n">
        <x:f>Q42*'Summary'!$J$12</x:f>
        <x:v>0.02</x:v>
      </x:c>
    </x:row>
    <x:row r="43" ht="25" customHeight="1">
      <x:c r="C43" s="2" t="n">
        <x:v>38</x:v>
      </x:c>
      <x:c r="D43" s="2" t="n">
        <x:v>4</x:v>
      </x:c>
      <x:c r="E43" s="2" t="str">
        <x:v>Solar Yellow &amp; Pastel Gold</x:v>
      </x:c>
      <x:c r="F43" s="117" t="str">
        <x:v>#CCCC66</x:v>
      </x:c>
      <x:c r="G43" s="38" t="str">
        <x:v>Growth</x:v>
      </x:c>
      <x:c r="H43" s="477" t="n">
        <x:f>'Seasons'!F9</x:f>
        <x:v>1000</x:v>
      </x:c>
      <x:c r="I43" s="60" t="n">
        <x:f>'Seasons'!G9</x:f>
        <x:v>0.01</x:v>
      </x:c>
      <x:c r="J43" s="12" t="n">
        <x:f>H43*I43</x:f>
        <x:v>10</x:v>
      </x:c>
      <x:c r="K43" s="60" t="n">
        <x:f>J43*'Seasons'!H9</x:f>
        <x:v>4</x:v>
      </x:c>
      <x:c r="L43" s="60" t="n">
        <x:f>J43*'Seasons'!I9</x:f>
        <x:v>2</x:v>
      </x:c>
      <x:c r="M43" s="60" t="n">
        <x:f>J43*IF(G43="Growth",'Summary'!$J$9,IF(G43="Standard",'Summary'!$J$10,NA()))</x:f>
        <x:v>2</x:v>
      </x:c>
      <x:c r="N43" s="12" t="n">
        <x:f>J43-SUM(K43:M43)</x:f>
        <x:v>2</x:v>
      </x:c>
      <x:c r="O43" s="477" t="n">
        <x:f>'Summary'!$J$21</x:f>
        <x:v>10</x:v>
      </x:c>
      <x:c r="P43" s="477" t="n">
        <x:f>'Summary'!$J$22</x:f>
        <x:v>100</x:v>
      </x:c>
      <x:c r="Q43" s="477" t="n">
        <x:f>'Summary'!$J$24</x:f>
        <x:v>2</x:v>
      </x:c>
      <x:c r="R43" s="482" t="n">
        <x:f>Q43/H43</x:f>
        <x:v>0.002</x:v>
      </x:c>
      <x:c r="S43" s="60" t="n">
        <x:f>Q43*'Summary'!$J$12</x:f>
        <x:v>0.02</x:v>
      </x:c>
    </x:row>
    <x:row r="44" ht="25" customHeight="1">
      <x:c r="C44" s="32" t="n">
        <x:v>39</x:v>
      </x:c>
      <x:c r="D44" s="32" t="n">
        <x:v>4</x:v>
      </x:c>
      <x:c r="E44" s="32" t="str">
        <x:v>Solar Yellow &amp; Pastel Gold</x:v>
      </x:c>
      <x:c r="F44" s="119" t="str">
        <x:v>#CCCC99</x:v>
      </x:c>
      <x:c r="G44" s="38" t="str">
        <x:v>Growth</x:v>
      </x:c>
      <x:c r="H44" s="475" t="n">
        <x:f>'Seasons'!F9</x:f>
        <x:v>1000</x:v>
      </x:c>
      <x:c r="I44" s="35" t="n">
        <x:f>'Seasons'!G9</x:f>
        <x:v>0.01</x:v>
      </x:c>
      <x:c r="J44" s="37" t="n">
        <x:f>H44*I44</x:f>
        <x:v>10</x:v>
      </x:c>
      <x:c r="K44" s="35" t="n">
        <x:f>J44*'Seasons'!H9</x:f>
        <x:v>4</x:v>
      </x:c>
      <x:c r="L44" s="35" t="n">
        <x:f>J44*'Seasons'!I9</x:f>
        <x:v>2</x:v>
      </x:c>
      <x:c r="M44" s="35" t="n">
        <x:f>J44*IF(G44="Growth",'Summary'!$J$9,IF(G44="Standard",'Summary'!$J$10,NA()))</x:f>
        <x:v>2</x:v>
      </x:c>
      <x:c r="N44" s="37" t="n">
        <x:f>J44-SUM(K44:M44)</x:f>
        <x:v>2</x:v>
      </x:c>
      <x:c r="O44" s="475" t="n">
        <x:f>'Summary'!$J$21</x:f>
        <x:v>10</x:v>
      </x:c>
      <x:c r="P44" s="475" t="n">
        <x:f>'Summary'!$J$22</x:f>
        <x:v>100</x:v>
      </x:c>
      <x:c r="Q44" s="475" t="n">
        <x:f>'Summary'!$J$24</x:f>
        <x:v>2</x:v>
      </x:c>
      <x:c r="R44" s="481" t="n">
        <x:f>Q44/H44</x:f>
        <x:v>0.002</x:v>
      </x:c>
      <x:c r="S44" s="35" t="n">
        <x:f>Q44*'Summary'!$J$12</x:f>
        <x:v>0.02</x:v>
      </x:c>
    </x:row>
    <x:row r="45" ht="25" customHeight="1">
      <x:c r="C45" s="2" t="n">
        <x:v>40</x:v>
      </x:c>
      <x:c r="D45" s="2" t="n">
        <x:v>4</x:v>
      </x:c>
      <x:c r="E45" s="2" t="str">
        <x:v>Solar Yellow &amp; Pastel Gold</x:v>
      </x:c>
      <x:c r="F45" s="121" t="str">
        <x:v>#FFCC66</x:v>
      </x:c>
      <x:c r="G45" s="38" t="str">
        <x:v>Growth</x:v>
      </x:c>
      <x:c r="H45" s="477" t="n">
        <x:f>'Seasons'!F9</x:f>
        <x:v>1000</x:v>
      </x:c>
      <x:c r="I45" s="60" t="n">
        <x:f>'Seasons'!G9</x:f>
        <x:v>0.01</x:v>
      </x:c>
      <x:c r="J45" s="12" t="n">
        <x:f>H45*I45</x:f>
        <x:v>10</x:v>
      </x:c>
      <x:c r="K45" s="60" t="n">
        <x:f>J45*'Seasons'!H9</x:f>
        <x:v>4</x:v>
      </x:c>
      <x:c r="L45" s="60" t="n">
        <x:f>J45*'Seasons'!I9</x:f>
        <x:v>2</x:v>
      </x:c>
      <x:c r="M45" s="60" t="n">
        <x:f>J45*IF(G45="Growth",'Summary'!$J$9,IF(G45="Standard",'Summary'!$J$10,NA()))</x:f>
        <x:v>2</x:v>
      </x:c>
      <x:c r="N45" s="12" t="n">
        <x:f>J45-SUM(K45:M45)</x:f>
        <x:v>2</x:v>
      </x:c>
      <x:c r="O45" s="477" t="n">
        <x:f>'Summary'!$J$21</x:f>
        <x:v>10</x:v>
      </x:c>
      <x:c r="P45" s="477" t="n">
        <x:f>'Summary'!$J$22</x:f>
        <x:v>100</x:v>
      </x:c>
      <x:c r="Q45" s="477" t="n">
        <x:f>'Summary'!$J$24</x:f>
        <x:v>2</x:v>
      </x:c>
      <x:c r="R45" s="482" t="n">
        <x:f>Q45/H45</x:f>
        <x:v>0.002</x:v>
      </x:c>
      <x:c r="S45" s="60" t="n">
        <x:f>Q45*'Summary'!$J$12</x:f>
        <x:v>0.02</x:v>
      </x:c>
    </x:row>
    <x:row r="46" ht="25" customHeight="1">
      <x:c r="C46" s="32" t="n">
        <x:v>41</x:v>
      </x:c>
      <x:c r="D46" s="32" t="n">
        <x:v>5</x:v>
      </x:c>
      <x:c r="E46" s="32" t="str">
        <x:v>Olive &amp; Dried Moss</x:v>
      </x:c>
      <x:c r="F46" s="123" t="str">
        <x:v>#333300</x:v>
      </x:c>
      <x:c r="G46" s="38" t="str">
        <x:v>Growth</x:v>
      </x:c>
      <x:c r="H46" s="475" t="n">
        <x:f>'Seasons'!F10</x:f>
        <x:v>1000</x:v>
      </x:c>
      <x:c r="I46" s="35" t="n">
        <x:f>'Seasons'!G10</x:f>
        <x:v>0.01</x:v>
      </x:c>
      <x:c r="J46" s="37" t="n">
        <x:f>H46*I46</x:f>
        <x:v>10</x:v>
      </x:c>
      <x:c r="K46" s="35" t="n">
        <x:f>J46*'Seasons'!H10</x:f>
        <x:v>4</x:v>
      </x:c>
      <x:c r="L46" s="35" t="n">
        <x:f>J46*'Seasons'!I10</x:f>
        <x:v>2</x:v>
      </x:c>
      <x:c r="M46" s="35" t="n">
        <x:f>J46*IF(G46="Growth",'Summary'!$J$9,IF(G46="Standard",'Summary'!$J$10,NA()))</x:f>
        <x:v>2</x:v>
      </x:c>
      <x:c r="N46" s="37" t="n">
        <x:f>J46-SUM(K46:M46)</x:f>
        <x:v>2</x:v>
      </x:c>
      <x:c r="O46" s="475" t="n">
        <x:f>'Summary'!$J$21</x:f>
        <x:v>10</x:v>
      </x:c>
      <x:c r="P46" s="475" t="n">
        <x:f>'Summary'!$J$22</x:f>
        <x:v>100</x:v>
      </x:c>
      <x:c r="Q46" s="475" t="n">
        <x:f>'Summary'!$J$24</x:f>
        <x:v>2</x:v>
      </x:c>
      <x:c r="R46" s="481" t="n">
        <x:f>Q46/H46</x:f>
        <x:v>0.002</x:v>
      </x:c>
      <x:c r="S46" s="35" t="n">
        <x:f>Q46*'Summary'!$J$12</x:f>
        <x:v>0.02</x:v>
      </x:c>
    </x:row>
    <x:row r="47" ht="25" customHeight="1">
      <x:c r="C47" s="2" t="n">
        <x:v>42</x:v>
      </x:c>
      <x:c r="D47" s="2" t="n">
        <x:v>5</x:v>
      </x:c>
      <x:c r="E47" s="2" t="str">
        <x:v>Olive &amp; Dried Moss</x:v>
      </x:c>
      <x:c r="F47" s="125" t="str">
        <x:v>#666600</x:v>
      </x:c>
      <x:c r="G47" s="38" t="str">
        <x:v>Growth</x:v>
      </x:c>
      <x:c r="H47" s="477" t="n">
        <x:f>'Seasons'!F10</x:f>
        <x:v>1000</x:v>
      </x:c>
      <x:c r="I47" s="60" t="n">
        <x:f>'Seasons'!G10</x:f>
        <x:v>0.01</x:v>
      </x:c>
      <x:c r="J47" s="12" t="n">
        <x:f>H47*I47</x:f>
        <x:v>10</x:v>
      </x:c>
      <x:c r="K47" s="60" t="n">
        <x:f>J47*'Seasons'!H10</x:f>
        <x:v>4</x:v>
      </x:c>
      <x:c r="L47" s="60" t="n">
        <x:f>J47*'Seasons'!I10</x:f>
        <x:v>2</x:v>
      </x:c>
      <x:c r="M47" s="60" t="n">
        <x:f>J47*IF(G47="Growth",'Summary'!$J$9,IF(G47="Standard",'Summary'!$J$10,NA()))</x:f>
        <x:v>2</x:v>
      </x:c>
      <x:c r="N47" s="12" t="n">
        <x:f>J47-SUM(K47:M47)</x:f>
        <x:v>2</x:v>
      </x:c>
      <x:c r="O47" s="477" t="n">
        <x:f>'Summary'!$J$21</x:f>
        <x:v>10</x:v>
      </x:c>
      <x:c r="P47" s="477" t="n">
        <x:f>'Summary'!$J$22</x:f>
        <x:v>100</x:v>
      </x:c>
      <x:c r="Q47" s="477" t="n">
        <x:f>'Summary'!$J$24</x:f>
        <x:v>2</x:v>
      </x:c>
      <x:c r="R47" s="482" t="n">
        <x:f>Q47/H47</x:f>
        <x:v>0.002</x:v>
      </x:c>
      <x:c r="S47" s="60" t="n">
        <x:f>Q47*'Summary'!$J$12</x:f>
        <x:v>0.02</x:v>
      </x:c>
    </x:row>
    <x:row r="48" ht="25" customHeight="1">
      <x:c r="C48" s="32" t="n">
        <x:v>43</x:v>
      </x:c>
      <x:c r="D48" s="32" t="n">
        <x:v>5</x:v>
      </x:c>
      <x:c r="E48" s="32" t="str">
        <x:v>Olive &amp; Dried Moss</x:v>
      </x:c>
      <x:c r="F48" s="127" t="str">
        <x:v>#666633</x:v>
      </x:c>
      <x:c r="G48" s="38" t="str">
        <x:v>Standard</x:v>
      </x:c>
      <x:c r="H48" s="475" t="n">
        <x:f>'Seasons'!F10</x:f>
        <x:v>1000</x:v>
      </x:c>
      <x:c r="I48" s="35" t="n">
        <x:f>'Seasons'!G10</x:f>
        <x:v>0.01</x:v>
      </x:c>
      <x:c r="J48" s="37" t="n">
        <x:f>H48*I48</x:f>
        <x:v>10</x:v>
      </x:c>
      <x:c r="K48" s="35" t="n">
        <x:f>J48*'Seasons'!H10</x:f>
        <x:v>4</x:v>
      </x:c>
      <x:c r="L48" s="35" t="n">
        <x:f>J48*'Seasons'!I10</x:f>
        <x:v>2</x:v>
      </x:c>
      <x:c r="M48" s="35" t="n">
        <x:f>J48*IF(G48="Growth",'Summary'!$J$9,IF(G48="Standard",'Summary'!$J$10,NA()))</x:f>
        <x:v>1</x:v>
      </x:c>
      <x:c r="N48" s="37" t="n">
        <x:f>J48-SUM(K48:M48)</x:f>
        <x:v>3</x:v>
      </x:c>
      <x:c r="O48" s="475" t="n">
        <x:f>'Summary'!$J$21</x:f>
        <x:v>10</x:v>
      </x:c>
      <x:c r="P48" s="475" t="n">
        <x:f>'Summary'!$J$22</x:f>
        <x:v>100</x:v>
      </x:c>
      <x:c r="Q48" s="475" t="n">
        <x:f>'Summary'!$J$24</x:f>
        <x:v>2</x:v>
      </x:c>
      <x:c r="R48" s="481" t="n">
        <x:f>Q48/H48</x:f>
        <x:v>0.002</x:v>
      </x:c>
      <x:c r="S48" s="35" t="n">
        <x:f>Q48*'Summary'!$J$12</x:f>
        <x:v>0.02</x:v>
      </x:c>
    </x:row>
    <x:row r="49" ht="25" customHeight="1">
      <x:c r="C49" s="2" t="n">
        <x:v>44</x:v>
      </x:c>
      <x:c r="D49" s="2" t="n">
        <x:v>5</x:v>
      </x:c>
      <x:c r="E49" s="2" t="str">
        <x:v>Olive &amp; Dried Moss</x:v>
      </x:c>
      <x:c r="F49" s="129" t="str">
        <x:v>#999900</x:v>
      </x:c>
      <x:c r="G49" s="38" t="str">
        <x:v>Standard</x:v>
      </x:c>
      <x:c r="H49" s="477" t="n">
        <x:f>'Seasons'!F10</x:f>
        <x:v>1000</x:v>
      </x:c>
      <x:c r="I49" s="60" t="n">
        <x:f>'Seasons'!G10</x:f>
        <x:v>0.01</x:v>
      </x:c>
      <x:c r="J49" s="12" t="n">
        <x:f>H49*I49</x:f>
        <x:v>10</x:v>
      </x:c>
      <x:c r="K49" s="60" t="n">
        <x:f>J49*'Seasons'!H10</x:f>
        <x:v>4</x:v>
      </x:c>
      <x:c r="L49" s="60" t="n">
        <x:f>J49*'Seasons'!I10</x:f>
        <x:v>2</x:v>
      </x:c>
      <x:c r="M49" s="60" t="n">
        <x:f>J49*IF(G49="Growth",'Summary'!$J$9,IF(G49="Standard",'Summary'!$J$10,NA()))</x:f>
        <x:v>1</x:v>
      </x:c>
      <x:c r="N49" s="12" t="n">
        <x:f>J49-SUM(K49:M49)</x:f>
        <x:v>3</x:v>
      </x:c>
      <x:c r="O49" s="477" t="n">
        <x:f>'Summary'!$J$21</x:f>
        <x:v>10</x:v>
      </x:c>
      <x:c r="P49" s="477" t="n">
        <x:f>'Summary'!$J$22</x:f>
        <x:v>100</x:v>
      </x:c>
      <x:c r="Q49" s="477" t="n">
        <x:f>'Summary'!$J$24</x:f>
        <x:v>2</x:v>
      </x:c>
      <x:c r="R49" s="482" t="n">
        <x:f>Q49/H49</x:f>
        <x:v>0.002</x:v>
      </x:c>
      <x:c r="S49" s="60" t="n">
        <x:f>Q49*'Summary'!$J$12</x:f>
        <x:v>0.02</x:v>
      </x:c>
    </x:row>
    <x:row r="50" ht="25" customHeight="1">
      <x:c r="C50" s="32" t="n">
        <x:v>45</x:v>
      </x:c>
      <x:c r="D50" s="32" t="n">
        <x:v>5</x:v>
      </x:c>
      <x:c r="E50" s="32" t="str">
        <x:v>Olive &amp; Dried Moss</x:v>
      </x:c>
      <x:c r="F50" s="131" t="str">
        <x:v>#999933</x:v>
      </x:c>
      <x:c r="G50" s="38" t="str">
        <x:v>Standard</x:v>
      </x:c>
      <x:c r="H50" s="475" t="n">
        <x:f>'Seasons'!F10</x:f>
        <x:v>1000</x:v>
      </x:c>
      <x:c r="I50" s="35" t="n">
        <x:f>'Seasons'!G10</x:f>
        <x:v>0.01</x:v>
      </x:c>
      <x:c r="J50" s="37" t="n">
        <x:f>H50*I50</x:f>
        <x:v>10</x:v>
      </x:c>
      <x:c r="K50" s="35" t="n">
        <x:f>J50*'Seasons'!H10</x:f>
        <x:v>4</x:v>
      </x:c>
      <x:c r="L50" s="35" t="n">
        <x:f>J50*'Seasons'!I10</x:f>
        <x:v>2</x:v>
      </x:c>
      <x:c r="M50" s="35" t="n">
        <x:f>J50*IF(G50="Growth",'Summary'!$J$9,IF(G50="Standard",'Summary'!$J$10,NA()))</x:f>
        <x:v>1</x:v>
      </x:c>
      <x:c r="N50" s="37" t="n">
        <x:f>J50-SUM(K50:M50)</x:f>
        <x:v>3</x:v>
      </x:c>
      <x:c r="O50" s="475" t="n">
        <x:f>'Summary'!$J$21</x:f>
        <x:v>10</x:v>
      </x:c>
      <x:c r="P50" s="475" t="n">
        <x:f>'Summary'!$J$22</x:f>
        <x:v>100</x:v>
      </x:c>
      <x:c r="Q50" s="475" t="n">
        <x:f>'Summary'!$J$24</x:f>
        <x:v>2</x:v>
      </x:c>
      <x:c r="R50" s="481" t="n">
        <x:f>Q50/H50</x:f>
        <x:v>0.002</x:v>
      </x:c>
      <x:c r="S50" s="35" t="n">
        <x:f>Q50*'Summary'!$J$12</x:f>
        <x:v>0.02</x:v>
      </x:c>
    </x:row>
    <x:row r="51" ht="25" customHeight="1">
      <x:c r="C51" s="2" t="n">
        <x:v>46</x:v>
      </x:c>
      <x:c r="D51" s="2" t="n">
        <x:v>5</x:v>
      </x:c>
      <x:c r="E51" s="2" t="str">
        <x:v>Olive &amp; Dried Moss</x:v>
      </x:c>
      <x:c r="F51" s="133" t="str">
        <x:v>#999966</x:v>
      </x:c>
      <x:c r="G51" s="38" t="str">
        <x:v>Standard</x:v>
      </x:c>
      <x:c r="H51" s="477" t="n">
        <x:f>'Seasons'!F10</x:f>
        <x:v>1000</x:v>
      </x:c>
      <x:c r="I51" s="60" t="n">
        <x:f>'Seasons'!G10</x:f>
        <x:v>0.01</x:v>
      </x:c>
      <x:c r="J51" s="12" t="n">
        <x:f>H51*I51</x:f>
        <x:v>10</x:v>
      </x:c>
      <x:c r="K51" s="60" t="n">
        <x:f>J51*'Seasons'!H10</x:f>
        <x:v>4</x:v>
      </x:c>
      <x:c r="L51" s="60" t="n">
        <x:f>J51*'Seasons'!I10</x:f>
        <x:v>2</x:v>
      </x:c>
      <x:c r="M51" s="60" t="n">
        <x:f>J51*IF(G51="Growth",'Summary'!$J$9,IF(G51="Standard",'Summary'!$J$10,NA()))</x:f>
        <x:v>1</x:v>
      </x:c>
      <x:c r="N51" s="12" t="n">
        <x:f>J51-SUM(K51:M51)</x:f>
        <x:v>3</x:v>
      </x:c>
      <x:c r="O51" s="477" t="n">
        <x:f>'Summary'!$J$21</x:f>
        <x:v>10</x:v>
      </x:c>
      <x:c r="P51" s="477" t="n">
        <x:f>'Summary'!$J$22</x:f>
        <x:v>100</x:v>
      </x:c>
      <x:c r="Q51" s="477" t="n">
        <x:f>'Summary'!$J$24</x:f>
        <x:v>2</x:v>
      </x:c>
      <x:c r="R51" s="482" t="n">
        <x:f>Q51/H51</x:f>
        <x:v>0.002</x:v>
      </x:c>
      <x:c r="S51" s="60" t="n">
        <x:f>Q51*'Summary'!$J$12</x:f>
        <x:v>0.02</x:v>
      </x:c>
    </x:row>
    <x:row r="52" ht="25" customHeight="1">
      <x:c r="C52" s="32" t="n">
        <x:v>47</x:v>
      </x:c>
      <x:c r="D52" s="32" t="n">
        <x:v>5</x:v>
      </x:c>
      <x:c r="E52" s="32" t="str">
        <x:v>Olive &amp; Dried Moss</x:v>
      </x:c>
      <x:c r="F52" s="135" t="str">
        <x:v>#669900</x:v>
      </x:c>
      <x:c r="G52" s="38" t="str">
        <x:v>Standard</x:v>
      </x:c>
      <x:c r="H52" s="475" t="n">
        <x:f>'Seasons'!F10</x:f>
        <x:v>1000</x:v>
      </x:c>
      <x:c r="I52" s="35" t="n">
        <x:f>'Seasons'!G10</x:f>
        <x:v>0.01</x:v>
      </x:c>
      <x:c r="J52" s="37" t="n">
        <x:f>H52*I52</x:f>
        <x:v>10</x:v>
      </x:c>
      <x:c r="K52" s="35" t="n">
        <x:f>J52*'Seasons'!H10</x:f>
        <x:v>4</x:v>
      </x:c>
      <x:c r="L52" s="35" t="n">
        <x:f>J52*'Seasons'!I10</x:f>
        <x:v>2</x:v>
      </x:c>
      <x:c r="M52" s="35" t="n">
        <x:f>J52*IF(G52="Growth",'Summary'!$J$9,IF(G52="Standard",'Summary'!$J$10,NA()))</x:f>
        <x:v>1</x:v>
      </x:c>
      <x:c r="N52" s="37" t="n">
        <x:f>J52-SUM(K52:M52)</x:f>
        <x:v>3</x:v>
      </x:c>
      <x:c r="O52" s="475" t="n">
        <x:f>'Summary'!$J$21</x:f>
        <x:v>10</x:v>
      </x:c>
      <x:c r="P52" s="475" t="n">
        <x:f>'Summary'!$J$22</x:f>
        <x:v>100</x:v>
      </x:c>
      <x:c r="Q52" s="475" t="n">
        <x:f>'Summary'!$J$24</x:f>
        <x:v>2</x:v>
      </x:c>
      <x:c r="R52" s="481" t="n">
        <x:f>Q52/H52</x:f>
        <x:v>0.002</x:v>
      </x:c>
      <x:c r="S52" s="35" t="n">
        <x:f>Q52*'Summary'!$J$12</x:f>
        <x:v>0.02</x:v>
      </x:c>
    </x:row>
    <x:row r="53" ht="25" customHeight="1">
      <x:c r="C53" s="2" t="n">
        <x:v>48</x:v>
      </x:c>
      <x:c r="D53" s="2" t="n">
        <x:v>5</x:v>
      </x:c>
      <x:c r="E53" s="2" t="str">
        <x:v>Olive &amp; Dried Moss</x:v>
      </x:c>
      <x:c r="F53" s="137" t="str">
        <x:v>#669933</x:v>
      </x:c>
      <x:c r="G53" s="38" t="str">
        <x:v>Standard</x:v>
      </x:c>
      <x:c r="H53" s="477" t="n">
        <x:f>'Seasons'!F10</x:f>
        <x:v>1000</x:v>
      </x:c>
      <x:c r="I53" s="60" t="n">
        <x:f>'Seasons'!G10</x:f>
        <x:v>0.01</x:v>
      </x:c>
      <x:c r="J53" s="12" t="n">
        <x:f>H53*I53</x:f>
        <x:v>10</x:v>
      </x:c>
      <x:c r="K53" s="60" t="n">
        <x:f>J53*'Seasons'!H10</x:f>
        <x:v>4</x:v>
      </x:c>
      <x:c r="L53" s="60" t="n">
        <x:f>J53*'Seasons'!I10</x:f>
        <x:v>2</x:v>
      </x:c>
      <x:c r="M53" s="60" t="n">
        <x:f>J53*IF(G53="Growth",'Summary'!$J$9,IF(G53="Standard",'Summary'!$J$10,NA()))</x:f>
        <x:v>1</x:v>
      </x:c>
      <x:c r="N53" s="12" t="n">
        <x:f>J53-SUM(K53:M53)</x:f>
        <x:v>3</x:v>
      </x:c>
      <x:c r="O53" s="477" t="n">
        <x:f>'Summary'!$J$21</x:f>
        <x:v>10</x:v>
      </x:c>
      <x:c r="P53" s="477" t="n">
        <x:f>'Summary'!$J$22</x:f>
        <x:v>100</x:v>
      </x:c>
      <x:c r="Q53" s="477" t="n">
        <x:f>'Summary'!$J$24</x:f>
        <x:v>2</x:v>
      </x:c>
      <x:c r="R53" s="482" t="n">
        <x:f>Q53/H53</x:f>
        <x:v>0.002</x:v>
      </x:c>
      <x:c r="S53" s="60" t="n">
        <x:f>Q53*'Summary'!$J$12</x:f>
        <x:v>0.02</x:v>
      </x:c>
    </x:row>
    <x:row r="54" ht="25" customHeight="1">
      <x:c r="C54" s="32" t="n">
        <x:v>49</x:v>
      </x:c>
      <x:c r="D54" s="32" t="n">
        <x:v>5</x:v>
      </x:c>
      <x:c r="E54" s="32" t="str">
        <x:v>Olive &amp; Dried Moss</x:v>
      </x:c>
      <x:c r="F54" s="139" t="str">
        <x:v>#99CC00</x:v>
      </x:c>
      <x:c r="G54" s="38" t="str">
        <x:v>Standard</x:v>
      </x:c>
      <x:c r="H54" s="475" t="n">
        <x:f>'Seasons'!F10</x:f>
        <x:v>1000</x:v>
      </x:c>
      <x:c r="I54" s="35" t="n">
        <x:f>'Seasons'!G10</x:f>
        <x:v>0.01</x:v>
      </x:c>
      <x:c r="J54" s="37" t="n">
        <x:f>H54*I54</x:f>
        <x:v>10</x:v>
      </x:c>
      <x:c r="K54" s="35" t="n">
        <x:f>J54*'Seasons'!H10</x:f>
        <x:v>4</x:v>
      </x:c>
      <x:c r="L54" s="35" t="n">
        <x:f>J54*'Seasons'!I10</x:f>
        <x:v>2</x:v>
      </x:c>
      <x:c r="M54" s="35" t="n">
        <x:f>J54*IF(G54="Growth",'Summary'!$J$9,IF(G54="Standard",'Summary'!$J$10,NA()))</x:f>
        <x:v>1</x:v>
      </x:c>
      <x:c r="N54" s="37" t="n">
        <x:f>J54-SUM(K54:M54)</x:f>
        <x:v>3</x:v>
      </x:c>
      <x:c r="O54" s="475" t="n">
        <x:f>'Summary'!$J$21</x:f>
        <x:v>10</x:v>
      </x:c>
      <x:c r="P54" s="475" t="n">
        <x:f>'Summary'!$J$22</x:f>
        <x:v>100</x:v>
      </x:c>
      <x:c r="Q54" s="475" t="n">
        <x:f>'Summary'!$J$24</x:f>
        <x:v>2</x:v>
      </x:c>
      <x:c r="R54" s="481" t="n">
        <x:f>Q54/H54</x:f>
        <x:v>0.002</x:v>
      </x:c>
      <x:c r="S54" s="35" t="n">
        <x:f>Q54*'Summary'!$J$12</x:f>
        <x:v>0.02</x:v>
      </x:c>
    </x:row>
    <x:row r="55" ht="25" customHeight="1">
      <x:c r="C55" s="2" t="n">
        <x:v>50</x:v>
      </x:c>
      <x:c r="D55" s="2" t="n">
        <x:v>5</x:v>
      </x:c>
      <x:c r="E55" s="2" t="str">
        <x:v>Olive &amp; Dried Moss</x:v>
      </x:c>
      <x:c r="F55" s="141" t="str">
        <x:v>#99CC33</x:v>
      </x:c>
      <x:c r="G55" s="38" t="str">
        <x:v>Standard</x:v>
      </x:c>
      <x:c r="H55" s="477" t="n">
        <x:f>'Seasons'!F10</x:f>
        <x:v>1000</x:v>
      </x:c>
      <x:c r="I55" s="60" t="n">
        <x:f>'Seasons'!G10</x:f>
        <x:v>0.01</x:v>
      </x:c>
      <x:c r="J55" s="12" t="n">
        <x:f>H55*I55</x:f>
        <x:v>10</x:v>
      </x:c>
      <x:c r="K55" s="60" t="n">
        <x:f>J55*'Seasons'!H10</x:f>
        <x:v>4</x:v>
      </x:c>
      <x:c r="L55" s="60" t="n">
        <x:f>J55*'Seasons'!I10</x:f>
        <x:v>2</x:v>
      </x:c>
      <x:c r="M55" s="60" t="n">
        <x:f>J55*IF(G55="Growth",'Summary'!$J$9,IF(G55="Standard",'Summary'!$J$10,NA()))</x:f>
        <x:v>1</x:v>
      </x:c>
      <x:c r="N55" s="12" t="n">
        <x:f>J55-SUM(K55:M55)</x:f>
        <x:v>3</x:v>
      </x:c>
      <x:c r="O55" s="477" t="n">
        <x:f>'Summary'!$J$21</x:f>
        <x:v>10</x:v>
      </x:c>
      <x:c r="P55" s="477" t="n">
        <x:f>'Summary'!$J$22</x:f>
        <x:v>100</x:v>
      </x:c>
      <x:c r="Q55" s="477" t="n">
        <x:f>'Summary'!$J$24</x:f>
        <x:v>2</x:v>
      </x:c>
      <x:c r="R55" s="482" t="n">
        <x:f>Q55/H55</x:f>
        <x:v>0.002</x:v>
      </x:c>
      <x:c r="S55" s="60" t="n">
        <x:f>Q55*'Summary'!$J$12</x:f>
        <x:v>0.02</x:v>
      </x:c>
    </x:row>
    <x:row r="56" ht="25" customHeight="1">
      <x:c r="C56" s="32" t="n">
        <x:v>51</x:v>
      </x:c>
      <x:c r="D56" s="32" t="n">
        <x:v>6</x:v>
      </x:c>
      <x:c r="E56" s="32" t="str">
        <x:v>Vivid Lime &amp; Chartreuse</x:v>
      </x:c>
      <x:c r="F56" s="143" t="str">
        <x:v>#336600</x:v>
      </x:c>
      <x:c r="G56" s="38" t="str">
        <x:v>Growth</x:v>
      </x:c>
      <x:c r="H56" s="475" t="n">
        <x:f>'Seasons'!F11</x:f>
        <x:v>1000</x:v>
      </x:c>
      <x:c r="I56" s="35" t="n">
        <x:f>'Seasons'!G11</x:f>
        <x:v>0.01</x:v>
      </x:c>
      <x:c r="J56" s="37" t="n">
        <x:f>H56*I56</x:f>
        <x:v>10</x:v>
      </x:c>
      <x:c r="K56" s="35" t="n">
        <x:f>J56*'Seasons'!H11</x:f>
        <x:v>4</x:v>
      </x:c>
      <x:c r="L56" s="35" t="n">
        <x:f>J56*'Seasons'!I11</x:f>
        <x:v>2</x:v>
      </x:c>
      <x:c r="M56" s="35" t="n">
        <x:f>J56*IF(G56="Growth",'Summary'!$J$9,IF(G56="Standard",'Summary'!$J$10,NA()))</x:f>
        <x:v>2</x:v>
      </x:c>
      <x:c r="N56" s="37" t="n">
        <x:f>J56-SUM(K56:M56)</x:f>
        <x:v>2</x:v>
      </x:c>
      <x:c r="O56" s="475" t="n">
        <x:f>'Summary'!$J$21</x:f>
        <x:v>10</x:v>
      </x:c>
      <x:c r="P56" s="475" t="n">
        <x:f>'Summary'!$J$22</x:f>
        <x:v>100</x:v>
      </x:c>
      <x:c r="Q56" s="475" t="n">
        <x:f>'Summary'!$J$24</x:f>
        <x:v>2</x:v>
      </x:c>
      <x:c r="R56" s="481" t="n">
        <x:f>Q56/H56</x:f>
        <x:v>0.002</x:v>
      </x:c>
      <x:c r="S56" s="35" t="n">
        <x:f>Q56*'Summary'!$J$12</x:f>
        <x:v>0.02</x:v>
      </x:c>
    </x:row>
    <x:row r="57" ht="25" customHeight="1">
      <x:c r="C57" s="2" t="n">
        <x:v>52</x:v>
      </x:c>
      <x:c r="D57" s="2" t="n">
        <x:v>6</x:v>
      </x:c>
      <x:c r="E57" s="2" t="str">
        <x:v>Vivid Lime &amp; Chartreuse</x:v>
      </x:c>
      <x:c r="F57" s="145" t="str">
        <x:v>#339900</x:v>
      </x:c>
      <x:c r="G57" s="38" t="str">
        <x:v>Growth</x:v>
      </x:c>
      <x:c r="H57" s="477" t="n">
        <x:f>'Seasons'!F11</x:f>
        <x:v>1000</x:v>
      </x:c>
      <x:c r="I57" s="60" t="n">
        <x:f>'Seasons'!G11</x:f>
        <x:v>0.01</x:v>
      </x:c>
      <x:c r="J57" s="12" t="n">
        <x:f>H57*I57</x:f>
        <x:v>10</x:v>
      </x:c>
      <x:c r="K57" s="60" t="n">
        <x:f>J57*'Seasons'!H11</x:f>
        <x:v>4</x:v>
      </x:c>
      <x:c r="L57" s="60" t="n">
        <x:f>J57*'Seasons'!I11</x:f>
        <x:v>2</x:v>
      </x:c>
      <x:c r="M57" s="60" t="n">
        <x:f>J57*IF(G57="Growth",'Summary'!$J$9,IF(G57="Standard",'Summary'!$J$10,NA()))</x:f>
        <x:v>2</x:v>
      </x:c>
      <x:c r="N57" s="12" t="n">
        <x:f>J57-SUM(K57:M57)</x:f>
        <x:v>2</x:v>
      </x:c>
      <x:c r="O57" s="477" t="n">
        <x:f>'Summary'!$J$21</x:f>
        <x:v>10</x:v>
      </x:c>
      <x:c r="P57" s="477" t="n">
        <x:f>'Summary'!$J$22</x:f>
        <x:v>100</x:v>
      </x:c>
      <x:c r="Q57" s="477" t="n">
        <x:f>'Summary'!$J$24</x:f>
        <x:v>2</x:v>
      </x:c>
      <x:c r="R57" s="482" t="n">
        <x:f>Q57/H57</x:f>
        <x:v>0.002</x:v>
      </x:c>
      <x:c r="S57" s="60" t="n">
        <x:f>Q57*'Summary'!$J$12</x:f>
        <x:v>0.02</x:v>
      </x:c>
    </x:row>
    <x:row r="58" ht="25" customHeight="1">
      <x:c r="C58" s="32" t="n">
        <x:v>53</x:v>
      </x:c>
      <x:c r="D58" s="32" t="n">
        <x:v>6</x:v>
      </x:c>
      <x:c r="E58" s="32" t="str">
        <x:v>Vivid Lime &amp; Chartreuse</x:v>
      </x:c>
      <x:c r="F58" s="147" t="str">
        <x:v>#33CC00</x:v>
      </x:c>
      <x:c r="G58" s="38" t="str">
        <x:v>Standard</x:v>
      </x:c>
      <x:c r="H58" s="475" t="n">
        <x:f>'Seasons'!F11</x:f>
        <x:v>1000</x:v>
      </x:c>
      <x:c r="I58" s="35" t="n">
        <x:f>'Seasons'!G11</x:f>
        <x:v>0.01</x:v>
      </x:c>
      <x:c r="J58" s="37" t="n">
        <x:f>H58*I58</x:f>
        <x:v>10</x:v>
      </x:c>
      <x:c r="K58" s="35" t="n">
        <x:f>J58*'Seasons'!H11</x:f>
        <x:v>4</x:v>
      </x:c>
      <x:c r="L58" s="35" t="n">
        <x:f>J58*'Seasons'!I11</x:f>
        <x:v>2</x:v>
      </x:c>
      <x:c r="M58" s="35" t="n">
        <x:f>J58*IF(G58="Growth",'Summary'!$J$9,IF(G58="Standard",'Summary'!$J$10,NA()))</x:f>
        <x:v>1</x:v>
      </x:c>
      <x:c r="N58" s="37" t="n">
        <x:f>J58-SUM(K58:M58)</x:f>
        <x:v>3</x:v>
      </x:c>
      <x:c r="O58" s="475" t="n">
        <x:f>'Summary'!$J$21</x:f>
        <x:v>10</x:v>
      </x:c>
      <x:c r="P58" s="475" t="n">
        <x:f>'Summary'!$J$22</x:f>
        <x:v>100</x:v>
      </x:c>
      <x:c r="Q58" s="475" t="n">
        <x:f>'Summary'!$J$24</x:f>
        <x:v>2</x:v>
      </x:c>
      <x:c r="R58" s="481" t="n">
        <x:f>Q58/H58</x:f>
        <x:v>0.002</x:v>
      </x:c>
      <x:c r="S58" s="35" t="n">
        <x:f>Q58*'Summary'!$J$12</x:f>
        <x:v>0.02</x:v>
      </x:c>
    </x:row>
    <x:row r="59" ht="25" customHeight="1">
      <x:c r="C59" s="2" t="n">
        <x:v>54</x:v>
      </x:c>
      <x:c r="D59" s="2" t="n">
        <x:v>6</x:v>
      </x:c>
      <x:c r="E59" s="2" t="str">
        <x:v>Vivid Lime &amp; Chartreuse</x:v>
      </x:c>
      <x:c r="F59" s="149" t="str">
        <x:v>#33FF00</x:v>
      </x:c>
      <x:c r="G59" s="38" t="str">
        <x:v>Standard</x:v>
      </x:c>
      <x:c r="H59" s="477" t="n">
        <x:f>'Seasons'!F11</x:f>
        <x:v>1000</x:v>
      </x:c>
      <x:c r="I59" s="60" t="n">
        <x:f>'Seasons'!G11</x:f>
        <x:v>0.01</x:v>
      </x:c>
      <x:c r="J59" s="12" t="n">
        <x:f>H59*I59</x:f>
        <x:v>10</x:v>
      </x:c>
      <x:c r="K59" s="60" t="n">
        <x:f>J59*'Seasons'!H11</x:f>
        <x:v>4</x:v>
      </x:c>
      <x:c r="L59" s="60" t="n">
        <x:f>J59*'Seasons'!I11</x:f>
        <x:v>2</x:v>
      </x:c>
      <x:c r="M59" s="60" t="n">
        <x:f>J59*IF(G59="Growth",'Summary'!$J$9,IF(G59="Standard",'Summary'!$J$10,NA()))</x:f>
        <x:v>1</x:v>
      </x:c>
      <x:c r="N59" s="12" t="n">
        <x:f>J59-SUM(K59:M59)</x:f>
        <x:v>3</x:v>
      </x:c>
      <x:c r="O59" s="477" t="n">
        <x:f>'Summary'!$J$21</x:f>
        <x:v>10</x:v>
      </x:c>
      <x:c r="P59" s="477" t="n">
        <x:f>'Summary'!$J$22</x:f>
        <x:v>100</x:v>
      </x:c>
      <x:c r="Q59" s="477" t="n">
        <x:f>'Summary'!$J$24</x:f>
        <x:v>2</x:v>
      </x:c>
      <x:c r="R59" s="482" t="n">
        <x:f>Q59/H59</x:f>
        <x:v>0.002</x:v>
      </x:c>
      <x:c r="S59" s="60" t="n">
        <x:f>Q59*'Summary'!$J$12</x:f>
        <x:v>0.02</x:v>
      </x:c>
    </x:row>
    <x:row r="60" ht="25" customHeight="1">
      <x:c r="C60" s="32" t="n">
        <x:v>55</x:v>
      </x:c>
      <x:c r="D60" s="32" t="n">
        <x:v>6</x:v>
      </x:c>
      <x:c r="E60" s="32" t="str">
        <x:v>Vivid Lime &amp; Chartreuse</x:v>
      </x:c>
      <x:c r="F60" s="151" t="str">
        <x:v>#66CC00</x:v>
      </x:c>
      <x:c r="G60" s="38" t="str">
        <x:v>Standard</x:v>
      </x:c>
      <x:c r="H60" s="475" t="n">
        <x:f>'Seasons'!F11</x:f>
        <x:v>1000</x:v>
      </x:c>
      <x:c r="I60" s="35" t="n">
        <x:f>'Seasons'!G11</x:f>
        <x:v>0.01</x:v>
      </x:c>
      <x:c r="J60" s="37" t="n">
        <x:f>H60*I60</x:f>
        <x:v>10</x:v>
      </x:c>
      <x:c r="K60" s="35" t="n">
        <x:f>J60*'Seasons'!H11</x:f>
        <x:v>4</x:v>
      </x:c>
      <x:c r="L60" s="35" t="n">
        <x:f>J60*'Seasons'!I11</x:f>
        <x:v>2</x:v>
      </x:c>
      <x:c r="M60" s="35" t="n">
        <x:f>J60*IF(G60="Growth",'Summary'!$J$9,IF(G60="Standard",'Summary'!$J$10,NA()))</x:f>
        <x:v>1</x:v>
      </x:c>
      <x:c r="N60" s="37" t="n">
        <x:f>J60-SUM(K60:M60)</x:f>
        <x:v>3</x:v>
      </x:c>
      <x:c r="O60" s="475" t="n">
        <x:f>'Summary'!$J$21</x:f>
        <x:v>10</x:v>
      </x:c>
      <x:c r="P60" s="475" t="n">
        <x:f>'Summary'!$J$22</x:f>
        <x:v>100</x:v>
      </x:c>
      <x:c r="Q60" s="475" t="n">
        <x:f>'Summary'!$J$24</x:f>
        <x:v>2</x:v>
      </x:c>
      <x:c r="R60" s="481" t="n">
        <x:f>Q60/H60</x:f>
        <x:v>0.002</x:v>
      </x:c>
      <x:c r="S60" s="35" t="n">
        <x:f>Q60*'Summary'!$J$12</x:f>
        <x:v>0.02</x:v>
      </x:c>
    </x:row>
    <x:row r="61" ht="25" customHeight="1">
      <x:c r="C61" s="2" t="n">
        <x:v>56</x:v>
      </x:c>
      <x:c r="D61" s="2" t="n">
        <x:v>6</x:v>
      </x:c>
      <x:c r="E61" s="2" t="str">
        <x:v>Vivid Lime &amp; Chartreuse</x:v>
      </x:c>
      <x:c r="F61" s="153" t="str">
        <x:v>#66FF00</x:v>
      </x:c>
      <x:c r="G61" s="38" t="str">
        <x:v>Standard</x:v>
      </x:c>
      <x:c r="H61" s="477" t="n">
        <x:f>'Seasons'!F11</x:f>
        <x:v>1000</x:v>
      </x:c>
      <x:c r="I61" s="60" t="n">
        <x:f>'Seasons'!G11</x:f>
        <x:v>0.01</x:v>
      </x:c>
      <x:c r="J61" s="12" t="n">
        <x:f>H61*I61</x:f>
        <x:v>10</x:v>
      </x:c>
      <x:c r="K61" s="60" t="n">
        <x:f>J61*'Seasons'!H11</x:f>
        <x:v>4</x:v>
      </x:c>
      <x:c r="L61" s="60" t="n">
        <x:f>J61*'Seasons'!I11</x:f>
        <x:v>2</x:v>
      </x:c>
      <x:c r="M61" s="60" t="n">
        <x:f>J61*IF(G61="Growth",'Summary'!$J$9,IF(G61="Standard",'Summary'!$J$10,NA()))</x:f>
        <x:v>1</x:v>
      </x:c>
      <x:c r="N61" s="12" t="n">
        <x:f>J61-SUM(K61:M61)</x:f>
        <x:v>3</x:v>
      </x:c>
      <x:c r="O61" s="477" t="n">
        <x:f>'Summary'!$J$21</x:f>
        <x:v>10</x:v>
      </x:c>
      <x:c r="P61" s="477" t="n">
        <x:f>'Summary'!$J$22</x:f>
        <x:v>100</x:v>
      </x:c>
      <x:c r="Q61" s="477" t="n">
        <x:f>'Summary'!$J$24</x:f>
        <x:v>2</x:v>
      </x:c>
      <x:c r="R61" s="482" t="n">
        <x:f>Q61/H61</x:f>
        <x:v>0.002</x:v>
      </x:c>
      <x:c r="S61" s="60" t="n">
        <x:f>Q61*'Summary'!$J$12</x:f>
        <x:v>0.02</x:v>
      </x:c>
    </x:row>
    <x:row r="62" ht="25" customHeight="1">
      <x:c r="C62" s="32" t="n">
        <x:v>57</x:v>
      </x:c>
      <x:c r="D62" s="32" t="n">
        <x:v>6</x:v>
      </x:c>
      <x:c r="E62" s="32" t="str">
        <x:v>Vivid Lime &amp; Chartreuse</x:v>
      </x:c>
      <x:c r="F62" s="155" t="str">
        <x:v>#99FF00</x:v>
      </x:c>
      <x:c r="G62" s="38" t="str">
        <x:v>Standard</x:v>
      </x:c>
      <x:c r="H62" s="475" t="n">
        <x:f>'Seasons'!F11</x:f>
        <x:v>1000</x:v>
      </x:c>
      <x:c r="I62" s="35" t="n">
        <x:f>'Seasons'!G11</x:f>
        <x:v>0.01</x:v>
      </x:c>
      <x:c r="J62" s="37" t="n">
        <x:f>H62*I62</x:f>
        <x:v>10</x:v>
      </x:c>
      <x:c r="K62" s="35" t="n">
        <x:f>J62*'Seasons'!H11</x:f>
        <x:v>4</x:v>
      </x:c>
      <x:c r="L62" s="35" t="n">
        <x:f>J62*'Seasons'!I11</x:f>
        <x:v>2</x:v>
      </x:c>
      <x:c r="M62" s="35" t="n">
        <x:f>J62*IF(G62="Growth",'Summary'!$J$9,IF(G62="Standard",'Summary'!$J$10,NA()))</x:f>
        <x:v>1</x:v>
      </x:c>
      <x:c r="N62" s="37" t="n">
        <x:f>J62-SUM(K62:M62)</x:f>
        <x:v>3</x:v>
      </x:c>
      <x:c r="O62" s="475" t="n">
        <x:f>'Summary'!$J$21</x:f>
        <x:v>10</x:v>
      </x:c>
      <x:c r="P62" s="475" t="n">
        <x:f>'Summary'!$J$22</x:f>
        <x:v>100</x:v>
      </x:c>
      <x:c r="Q62" s="475" t="n">
        <x:f>'Summary'!$J$24</x:f>
        <x:v>2</x:v>
      </x:c>
      <x:c r="R62" s="481" t="n">
        <x:f>Q62/H62</x:f>
        <x:v>0.002</x:v>
      </x:c>
      <x:c r="S62" s="35" t="n">
        <x:f>Q62*'Summary'!$J$12</x:f>
        <x:v>0.02</x:v>
      </x:c>
    </x:row>
    <x:row r="63" ht="25" customHeight="1">
      <x:c r="C63" s="2" t="n">
        <x:v>58</x:v>
      </x:c>
      <x:c r="D63" s="2" t="n">
        <x:v>6</x:v>
      </x:c>
      <x:c r="E63" s="2" t="str">
        <x:v>Vivid Lime &amp; Chartreuse</x:v>
      </x:c>
      <x:c r="F63" s="157" t="str">
        <x:v>#99FF33</x:v>
      </x:c>
      <x:c r="G63" s="38" t="str">
        <x:v>Standard</x:v>
      </x:c>
      <x:c r="H63" s="477" t="n">
        <x:f>'Seasons'!F11</x:f>
        <x:v>1000</x:v>
      </x:c>
      <x:c r="I63" s="60" t="n">
        <x:f>'Seasons'!G11</x:f>
        <x:v>0.01</x:v>
      </x:c>
      <x:c r="J63" s="12" t="n">
        <x:f>H63*I63</x:f>
        <x:v>10</x:v>
      </x:c>
      <x:c r="K63" s="60" t="n">
        <x:f>J63*'Seasons'!H11</x:f>
        <x:v>4</x:v>
      </x:c>
      <x:c r="L63" s="60" t="n">
        <x:f>J63*'Seasons'!I11</x:f>
        <x:v>2</x:v>
      </x:c>
      <x:c r="M63" s="60" t="n">
        <x:f>J63*IF(G63="Growth",'Summary'!$J$9,IF(G63="Standard",'Summary'!$J$10,NA()))</x:f>
        <x:v>1</x:v>
      </x:c>
      <x:c r="N63" s="12" t="n">
        <x:f>J63-SUM(K63:M63)</x:f>
        <x:v>3</x:v>
      </x:c>
      <x:c r="O63" s="477" t="n">
        <x:f>'Summary'!$J$21</x:f>
        <x:v>10</x:v>
      </x:c>
      <x:c r="P63" s="477" t="n">
        <x:f>'Summary'!$J$22</x:f>
        <x:v>100</x:v>
      </x:c>
      <x:c r="Q63" s="477" t="n">
        <x:f>'Summary'!$J$24</x:f>
        <x:v>2</x:v>
      </x:c>
      <x:c r="R63" s="482" t="n">
        <x:f>Q63/H63</x:f>
        <x:v>0.002</x:v>
      </x:c>
      <x:c r="S63" s="60" t="n">
        <x:f>Q63*'Summary'!$J$12</x:f>
        <x:v>0.02</x:v>
      </x:c>
    </x:row>
    <x:row r="64" ht="25" customHeight="1">
      <x:c r="C64" s="32" t="n">
        <x:v>59</x:v>
      </x:c>
      <x:c r="D64" s="32" t="n">
        <x:v>6</x:v>
      </x:c>
      <x:c r="E64" s="32" t="str">
        <x:v>Vivid Lime &amp; Chartreuse</x:v>
      </x:c>
      <x:c r="F64" s="159" t="str">
        <x:v>#CCFF00</x:v>
      </x:c>
      <x:c r="G64" s="38" t="str">
        <x:v>Standard</x:v>
      </x:c>
      <x:c r="H64" s="475" t="n">
        <x:f>'Seasons'!F11</x:f>
        <x:v>1000</x:v>
      </x:c>
      <x:c r="I64" s="35" t="n">
        <x:f>'Seasons'!G11</x:f>
        <x:v>0.01</x:v>
      </x:c>
      <x:c r="J64" s="37" t="n">
        <x:f>H64*I64</x:f>
        <x:v>10</x:v>
      </x:c>
      <x:c r="K64" s="35" t="n">
        <x:f>J64*'Seasons'!H11</x:f>
        <x:v>4</x:v>
      </x:c>
      <x:c r="L64" s="35" t="n">
        <x:f>J64*'Seasons'!I11</x:f>
        <x:v>2</x:v>
      </x:c>
      <x:c r="M64" s="35" t="n">
        <x:f>J64*IF(G64="Growth",'Summary'!$J$9,IF(G64="Standard",'Summary'!$J$10,NA()))</x:f>
        <x:v>1</x:v>
      </x:c>
      <x:c r="N64" s="37" t="n">
        <x:f>J64-SUM(K64:M64)</x:f>
        <x:v>3</x:v>
      </x:c>
      <x:c r="O64" s="475" t="n">
        <x:f>'Summary'!$J$21</x:f>
        <x:v>10</x:v>
      </x:c>
      <x:c r="P64" s="475" t="n">
        <x:f>'Summary'!$J$22</x:f>
        <x:v>100</x:v>
      </x:c>
      <x:c r="Q64" s="475" t="n">
        <x:f>'Summary'!$J$24</x:f>
        <x:v>2</x:v>
      </x:c>
      <x:c r="R64" s="481" t="n">
        <x:f>Q64/H64</x:f>
        <x:v>0.002</x:v>
      </x:c>
      <x:c r="S64" s="35" t="n">
        <x:f>Q64*'Summary'!$J$12</x:f>
        <x:v>0.02</x:v>
      </x:c>
    </x:row>
    <x:row r="65" ht="25" customHeight="1">
      <x:c r="C65" s="2" t="n">
        <x:v>60</x:v>
      </x:c>
      <x:c r="D65" s="2" t="n">
        <x:v>6</x:v>
      </x:c>
      <x:c r="E65" s="2" t="str">
        <x:v>Vivid Lime &amp; Chartreuse</x:v>
      </x:c>
      <x:c r="F65" s="161" t="str">
        <x:v>#CCFF33</x:v>
      </x:c>
      <x:c r="G65" s="38" t="str">
        <x:v>Standard</x:v>
      </x:c>
      <x:c r="H65" s="477" t="n">
        <x:f>'Seasons'!F11</x:f>
        <x:v>1000</x:v>
      </x:c>
      <x:c r="I65" s="60" t="n">
        <x:f>'Seasons'!G11</x:f>
        <x:v>0.01</x:v>
      </x:c>
      <x:c r="J65" s="12" t="n">
        <x:f>H65*I65</x:f>
        <x:v>10</x:v>
      </x:c>
      <x:c r="K65" s="60" t="n">
        <x:f>J65*'Seasons'!H11</x:f>
        <x:v>4</x:v>
      </x:c>
      <x:c r="L65" s="60" t="n">
        <x:f>J65*'Seasons'!I11</x:f>
        <x:v>2</x:v>
      </x:c>
      <x:c r="M65" s="60" t="n">
        <x:f>J65*IF(G65="Growth",'Summary'!$J$9,IF(G65="Standard",'Summary'!$J$10,NA()))</x:f>
        <x:v>1</x:v>
      </x:c>
      <x:c r="N65" s="12" t="n">
        <x:f>J65-SUM(K65:M65)</x:f>
        <x:v>3</x:v>
      </x:c>
      <x:c r="O65" s="477" t="n">
        <x:f>'Summary'!$J$21</x:f>
        <x:v>10</x:v>
      </x:c>
      <x:c r="P65" s="477" t="n">
        <x:f>'Summary'!$J$22</x:f>
        <x:v>100</x:v>
      </x:c>
      <x:c r="Q65" s="477" t="n">
        <x:f>'Summary'!$J$24</x:f>
        <x:v>2</x:v>
      </x:c>
      <x:c r="R65" s="482" t="n">
        <x:f>Q65/H65</x:f>
        <x:v>0.002</x:v>
      </x:c>
      <x:c r="S65" s="60" t="n">
        <x:f>Q65*'Summary'!$J$12</x:f>
        <x:v>0.02</x:v>
      </x:c>
    </x:row>
    <x:row r="66" ht="25" customHeight="1">
      <x:c r="C66" s="32" t="n">
        <x:v>61</x:v>
      </x:c>
      <x:c r="D66" s="32" t="n">
        <x:v>7</x:v>
      </x:c>
      <x:c r="E66" s="32" t="str">
        <x:v>Spring Foliage &amp; Meadow</x:v>
      </x:c>
      <x:c r="F66" s="163" t="str">
        <x:v>#CCFF66</x:v>
      </x:c>
      <x:c r="G66" s="38" t="str">
        <x:v>Growth</x:v>
      </x:c>
      <x:c r="H66" s="475" t="n">
        <x:f>'Seasons'!F12</x:f>
        <x:v>1000</x:v>
      </x:c>
      <x:c r="I66" s="35" t="n">
        <x:f>'Seasons'!G12</x:f>
        <x:v>0.01</x:v>
      </x:c>
      <x:c r="J66" s="37" t="n">
        <x:f>H66*I66</x:f>
        <x:v>10</x:v>
      </x:c>
      <x:c r="K66" s="35" t="n">
        <x:f>J66*'Seasons'!H12</x:f>
        <x:v>4</x:v>
      </x:c>
      <x:c r="L66" s="35" t="n">
        <x:f>J66*'Seasons'!I12</x:f>
        <x:v>2</x:v>
      </x:c>
      <x:c r="M66" s="35" t="n">
        <x:f>J66*IF(G66="Growth",'Summary'!$J$9,IF(G66="Standard",'Summary'!$J$10,NA()))</x:f>
        <x:v>2</x:v>
      </x:c>
      <x:c r="N66" s="37" t="n">
        <x:f>J66-SUM(K66:M66)</x:f>
        <x:v>2</x:v>
      </x:c>
      <x:c r="O66" s="475" t="n">
        <x:f>'Summary'!$J$21</x:f>
        <x:v>10</x:v>
      </x:c>
      <x:c r="P66" s="475" t="n">
        <x:f>'Summary'!$J$22</x:f>
        <x:v>100</x:v>
      </x:c>
      <x:c r="Q66" s="475" t="n">
        <x:f>'Summary'!$J$24</x:f>
        <x:v>2</x:v>
      </x:c>
      <x:c r="R66" s="481" t="n">
        <x:f>Q66/H66</x:f>
        <x:v>0.002</x:v>
      </x:c>
      <x:c r="S66" s="35" t="n">
        <x:f>Q66*'Summary'!$J$12</x:f>
        <x:v>0.02</x:v>
      </x:c>
    </x:row>
    <x:row r="67" ht="25" customHeight="1">
      <x:c r="C67" s="2" t="n">
        <x:v>62</x:v>
      </x:c>
      <x:c r="D67" s="2" t="n">
        <x:v>7</x:v>
      </x:c>
      <x:c r="E67" s="2" t="str">
        <x:v>Spring Foliage &amp; Meadow</x:v>
      </x:c>
      <x:c r="F67" s="165" t="str">
        <x:v>#CCFF99</x:v>
      </x:c>
      <x:c r="G67" s="38" t="str">
        <x:v>Growth</x:v>
      </x:c>
      <x:c r="H67" s="477" t="n">
        <x:f>'Seasons'!F12</x:f>
        <x:v>1000</x:v>
      </x:c>
      <x:c r="I67" s="60" t="n">
        <x:f>'Seasons'!G12</x:f>
        <x:v>0.01</x:v>
      </x:c>
      <x:c r="J67" s="12" t="n">
        <x:f>H67*I67</x:f>
        <x:v>10</x:v>
      </x:c>
      <x:c r="K67" s="60" t="n">
        <x:f>J67*'Seasons'!H12</x:f>
        <x:v>4</x:v>
      </x:c>
      <x:c r="L67" s="60" t="n">
        <x:f>J67*'Seasons'!I12</x:f>
        <x:v>2</x:v>
      </x:c>
      <x:c r="M67" s="60" t="n">
        <x:f>J67*IF(G67="Growth",'Summary'!$J$9,IF(G67="Standard",'Summary'!$J$10,NA()))</x:f>
        <x:v>2</x:v>
      </x:c>
      <x:c r="N67" s="12" t="n">
        <x:f>J67-SUM(K67:M67)</x:f>
        <x:v>2</x:v>
      </x:c>
      <x:c r="O67" s="477" t="n">
        <x:f>'Summary'!$J$21</x:f>
        <x:v>10</x:v>
      </x:c>
      <x:c r="P67" s="477" t="n">
        <x:f>'Summary'!$J$22</x:f>
        <x:v>100</x:v>
      </x:c>
      <x:c r="Q67" s="477" t="n">
        <x:f>'Summary'!$J$24</x:f>
        <x:v>2</x:v>
      </x:c>
      <x:c r="R67" s="482" t="n">
        <x:f>Q67/H67</x:f>
        <x:v>0.002</x:v>
      </x:c>
      <x:c r="S67" s="60" t="n">
        <x:f>Q67*'Summary'!$J$12</x:f>
        <x:v>0.02</x:v>
      </x:c>
    </x:row>
    <x:row r="68" ht="25" customHeight="1">
      <x:c r="C68" s="32" t="n">
        <x:v>63</x:v>
      </x:c>
      <x:c r="D68" s="32" t="n">
        <x:v>7</x:v>
      </x:c>
      <x:c r="E68" s="32" t="str">
        <x:v>Spring Foliage &amp; Meadow</x:v>
      </x:c>
      <x:c r="F68" s="167" t="str">
        <x:v>#CCFFCC</x:v>
      </x:c>
      <x:c r="G68" s="38" t="str">
        <x:v>Standard</x:v>
      </x:c>
      <x:c r="H68" s="475" t="n">
        <x:f>'Seasons'!F12</x:f>
        <x:v>1000</x:v>
      </x:c>
      <x:c r="I68" s="35" t="n">
        <x:f>'Seasons'!G12</x:f>
        <x:v>0.01</x:v>
      </x:c>
      <x:c r="J68" s="37" t="n">
        <x:f>H68*I68</x:f>
        <x:v>10</x:v>
      </x:c>
      <x:c r="K68" s="35" t="n">
        <x:f>J68*'Seasons'!H12</x:f>
        <x:v>4</x:v>
      </x:c>
      <x:c r="L68" s="35" t="n">
        <x:f>J68*'Seasons'!I12</x:f>
        <x:v>2</x:v>
      </x:c>
      <x:c r="M68" s="35" t="n">
        <x:f>J68*IF(G68="Growth",'Summary'!$J$9,IF(G68="Standard",'Summary'!$J$10,NA()))</x:f>
        <x:v>1</x:v>
      </x:c>
      <x:c r="N68" s="37" t="n">
        <x:f>J68-SUM(K68:M68)</x:f>
        <x:v>3</x:v>
      </x:c>
      <x:c r="O68" s="475" t="n">
        <x:f>'Summary'!$J$21</x:f>
        <x:v>10</x:v>
      </x:c>
      <x:c r="P68" s="475" t="n">
        <x:f>'Summary'!$J$22</x:f>
        <x:v>100</x:v>
      </x:c>
      <x:c r="Q68" s="475" t="n">
        <x:f>'Summary'!$J$24</x:f>
        <x:v>2</x:v>
      </x:c>
      <x:c r="R68" s="481" t="n">
        <x:f>Q68/H68</x:f>
        <x:v>0.002</x:v>
      </x:c>
      <x:c r="S68" s="35" t="n">
        <x:f>Q68*'Summary'!$J$12</x:f>
        <x:v>0.02</x:v>
      </x:c>
    </x:row>
    <x:row r="69" ht="25" customHeight="1">
      <x:c r="C69" s="2" t="n">
        <x:v>64</x:v>
      </x:c>
      <x:c r="D69" s="2" t="n">
        <x:v>7</x:v>
      </x:c>
      <x:c r="E69" s="2" t="str">
        <x:v>Spring Foliage &amp; Meadow</x:v>
      </x:c>
      <x:c r="F69" s="169" t="str">
        <x:v>#99CC66</x:v>
      </x:c>
      <x:c r="G69" s="38" t="str">
        <x:v>Standard</x:v>
      </x:c>
      <x:c r="H69" s="477" t="n">
        <x:f>'Seasons'!F12</x:f>
        <x:v>1000</x:v>
      </x:c>
      <x:c r="I69" s="60" t="n">
        <x:f>'Seasons'!G12</x:f>
        <x:v>0.01</x:v>
      </x:c>
      <x:c r="J69" s="12" t="n">
        <x:f>H69*I69</x:f>
        <x:v>10</x:v>
      </x:c>
      <x:c r="K69" s="60" t="n">
        <x:f>J69*'Seasons'!H12</x:f>
        <x:v>4</x:v>
      </x:c>
      <x:c r="L69" s="60" t="n">
        <x:f>J69*'Seasons'!I12</x:f>
        <x:v>2</x:v>
      </x:c>
      <x:c r="M69" s="60" t="n">
        <x:f>J69*IF(G69="Growth",'Summary'!$J$9,IF(G69="Standard",'Summary'!$J$10,NA()))</x:f>
        <x:v>1</x:v>
      </x:c>
      <x:c r="N69" s="12" t="n">
        <x:f>J69-SUM(K69:M69)</x:f>
        <x:v>3</x:v>
      </x:c>
      <x:c r="O69" s="477" t="n">
        <x:f>'Summary'!$J$21</x:f>
        <x:v>10</x:v>
      </x:c>
      <x:c r="P69" s="477" t="n">
        <x:f>'Summary'!$J$22</x:f>
        <x:v>100</x:v>
      </x:c>
      <x:c r="Q69" s="477" t="n">
        <x:f>'Summary'!$J$24</x:f>
        <x:v>2</x:v>
      </x:c>
      <x:c r="R69" s="482" t="n">
        <x:f>Q69/H69</x:f>
        <x:v>0.002</x:v>
      </x:c>
      <x:c r="S69" s="60" t="n">
        <x:f>Q69*'Summary'!$J$12</x:f>
        <x:v>0.02</x:v>
      </x:c>
    </x:row>
    <x:row r="70" ht="25" customHeight="1">
      <x:c r="C70" s="32" t="n">
        <x:v>65</x:v>
      </x:c>
      <x:c r="D70" s="32" t="n">
        <x:v>7</x:v>
      </x:c>
      <x:c r="E70" s="32" t="str">
        <x:v>Spring Foliage &amp; Meadow</x:v>
      </x:c>
      <x:c r="F70" s="171" t="str">
        <x:v>#99CC99</x:v>
      </x:c>
      <x:c r="G70" s="38" t="str">
        <x:v>Standard</x:v>
      </x:c>
      <x:c r="H70" s="475" t="n">
        <x:f>'Seasons'!F12</x:f>
        <x:v>1000</x:v>
      </x:c>
      <x:c r="I70" s="35" t="n">
        <x:f>'Seasons'!G12</x:f>
        <x:v>0.01</x:v>
      </x:c>
      <x:c r="J70" s="37" t="n">
        <x:f>H70*I70</x:f>
        <x:v>10</x:v>
      </x:c>
      <x:c r="K70" s="35" t="n">
        <x:f>J70*'Seasons'!H12</x:f>
        <x:v>4</x:v>
      </x:c>
      <x:c r="L70" s="35" t="n">
        <x:f>J70*'Seasons'!I12</x:f>
        <x:v>2</x:v>
      </x:c>
      <x:c r="M70" s="35" t="n">
        <x:f>J70*IF(G70="Growth",'Summary'!$J$9,IF(G70="Standard",'Summary'!$J$10,NA()))</x:f>
        <x:v>1</x:v>
      </x:c>
      <x:c r="N70" s="37" t="n">
        <x:f>J70-SUM(K70:M70)</x:f>
        <x:v>3</x:v>
      </x:c>
      <x:c r="O70" s="475" t="n">
        <x:f>'Summary'!$J$21</x:f>
        <x:v>10</x:v>
      </x:c>
      <x:c r="P70" s="475" t="n">
        <x:f>'Summary'!$J$22</x:f>
        <x:v>100</x:v>
      </x:c>
      <x:c r="Q70" s="475" t="n">
        <x:f>'Summary'!$J$24</x:f>
        <x:v>2</x:v>
      </x:c>
      <x:c r="R70" s="481" t="n">
        <x:f>Q70/H70</x:f>
        <x:v>0.002</x:v>
      </x:c>
      <x:c r="S70" s="35" t="n">
        <x:f>Q70*'Summary'!$J$12</x:f>
        <x:v>0.02</x:v>
      </x:c>
    </x:row>
    <x:row r="71" ht="25" customHeight="1">
      <x:c r="C71" s="2" t="n">
        <x:v>66</x:v>
      </x:c>
      <x:c r="D71" s="2" t="n">
        <x:v>7</x:v>
      </x:c>
      <x:c r="E71" s="2" t="str">
        <x:v>Spring Foliage &amp; Meadow</x:v>
      </x:c>
      <x:c r="F71" s="173" t="str">
        <x:v>#66CC33</x:v>
      </x:c>
      <x:c r="G71" s="38" t="str">
        <x:v>Standard</x:v>
      </x:c>
      <x:c r="H71" s="477" t="n">
        <x:f>'Seasons'!F12</x:f>
        <x:v>1000</x:v>
      </x:c>
      <x:c r="I71" s="60" t="n">
        <x:f>'Seasons'!G12</x:f>
        <x:v>0.01</x:v>
      </x:c>
      <x:c r="J71" s="12" t="n">
        <x:f>H71*I71</x:f>
        <x:v>10</x:v>
      </x:c>
      <x:c r="K71" s="60" t="n">
        <x:f>J71*'Seasons'!H12</x:f>
        <x:v>4</x:v>
      </x:c>
      <x:c r="L71" s="60" t="n">
        <x:f>J71*'Seasons'!I12</x:f>
        <x:v>2</x:v>
      </x:c>
      <x:c r="M71" s="60" t="n">
        <x:f>J71*IF(G71="Growth",'Summary'!$J$9,IF(G71="Standard",'Summary'!$J$10,NA()))</x:f>
        <x:v>1</x:v>
      </x:c>
      <x:c r="N71" s="12" t="n">
        <x:f>J71-SUM(K71:M71)</x:f>
        <x:v>3</x:v>
      </x:c>
      <x:c r="O71" s="477" t="n">
        <x:f>'Summary'!$J$21</x:f>
        <x:v>10</x:v>
      </x:c>
      <x:c r="P71" s="477" t="n">
        <x:f>'Summary'!$J$22</x:f>
        <x:v>100</x:v>
      </x:c>
      <x:c r="Q71" s="477" t="n">
        <x:f>'Summary'!$J$24</x:f>
        <x:v>2</x:v>
      </x:c>
      <x:c r="R71" s="482" t="n">
        <x:f>Q71/H71</x:f>
        <x:v>0.002</x:v>
      </x:c>
      <x:c r="S71" s="60" t="n">
        <x:f>Q71*'Summary'!$J$12</x:f>
        <x:v>0.02</x:v>
      </x:c>
    </x:row>
    <x:row r="72" ht="25" customHeight="1">
      <x:c r="C72" s="32" t="n">
        <x:v>67</x:v>
      </x:c>
      <x:c r="D72" s="32" t="n">
        <x:v>7</x:v>
      </x:c>
      <x:c r="E72" s="32" t="str">
        <x:v>Spring Foliage &amp; Meadow</x:v>
      </x:c>
      <x:c r="F72" s="175" t="str">
        <x:v>#66CC66</x:v>
      </x:c>
      <x:c r="G72" s="38" t="str">
        <x:v>Standard</x:v>
      </x:c>
      <x:c r="H72" s="475" t="n">
        <x:f>'Seasons'!F12</x:f>
        <x:v>1000</x:v>
      </x:c>
      <x:c r="I72" s="35" t="n">
        <x:f>'Seasons'!G12</x:f>
        <x:v>0.01</x:v>
      </x:c>
      <x:c r="J72" s="37" t="n">
        <x:f>H72*I72</x:f>
        <x:v>10</x:v>
      </x:c>
      <x:c r="K72" s="35" t="n">
        <x:f>J72*'Seasons'!H12</x:f>
        <x:v>4</x:v>
      </x:c>
      <x:c r="L72" s="35" t="n">
        <x:f>J72*'Seasons'!I12</x:f>
        <x:v>2</x:v>
      </x:c>
      <x:c r="M72" s="35" t="n">
        <x:f>J72*IF(G72="Growth",'Summary'!$J$9,IF(G72="Standard",'Summary'!$J$10,NA()))</x:f>
        <x:v>1</x:v>
      </x:c>
      <x:c r="N72" s="37" t="n">
        <x:f>J72-SUM(K72:M72)</x:f>
        <x:v>3</x:v>
      </x:c>
      <x:c r="O72" s="475" t="n">
        <x:f>'Summary'!$J$21</x:f>
        <x:v>10</x:v>
      </x:c>
      <x:c r="P72" s="475" t="n">
        <x:f>'Summary'!$J$22</x:f>
        <x:v>100</x:v>
      </x:c>
      <x:c r="Q72" s="475" t="n">
        <x:f>'Summary'!$J$24</x:f>
        <x:v>2</x:v>
      </x:c>
      <x:c r="R72" s="481" t="n">
        <x:f>Q72/H72</x:f>
        <x:v>0.002</x:v>
      </x:c>
      <x:c r="S72" s="35" t="n">
        <x:f>Q72*'Summary'!$J$12</x:f>
        <x:v>0.02</x:v>
      </x:c>
    </x:row>
    <x:row r="73" ht="25" customHeight="1">
      <x:c r="C73" s="2" t="n">
        <x:v>68</x:v>
      </x:c>
      <x:c r="D73" s="2" t="n">
        <x:v>7</x:v>
      </x:c>
      <x:c r="E73" s="2" t="str">
        <x:v>Spring Foliage &amp; Meadow</x:v>
      </x:c>
      <x:c r="F73" s="177" t="str">
        <x:v>#33CC33</x:v>
      </x:c>
      <x:c r="G73" s="38" t="str">
        <x:v>Standard</x:v>
      </x:c>
      <x:c r="H73" s="477" t="n">
        <x:f>'Seasons'!F12</x:f>
        <x:v>1000</x:v>
      </x:c>
      <x:c r="I73" s="60" t="n">
        <x:f>'Seasons'!G12</x:f>
        <x:v>0.01</x:v>
      </x:c>
      <x:c r="J73" s="12" t="n">
        <x:f>H73*I73</x:f>
        <x:v>10</x:v>
      </x:c>
      <x:c r="K73" s="60" t="n">
        <x:f>J73*'Seasons'!H12</x:f>
        <x:v>4</x:v>
      </x:c>
      <x:c r="L73" s="60" t="n">
        <x:f>J73*'Seasons'!I12</x:f>
        <x:v>2</x:v>
      </x:c>
      <x:c r="M73" s="60" t="n">
        <x:f>J73*IF(G73="Growth",'Summary'!$J$9,IF(G73="Standard",'Summary'!$J$10,NA()))</x:f>
        <x:v>1</x:v>
      </x:c>
      <x:c r="N73" s="12" t="n">
        <x:f>J73-SUM(K73:M73)</x:f>
        <x:v>3</x:v>
      </x:c>
      <x:c r="O73" s="477" t="n">
        <x:f>'Summary'!$J$21</x:f>
        <x:v>10</x:v>
      </x:c>
      <x:c r="P73" s="477" t="n">
        <x:f>'Summary'!$J$22</x:f>
        <x:v>100</x:v>
      </x:c>
      <x:c r="Q73" s="477" t="n">
        <x:f>'Summary'!$J$24</x:f>
        <x:v>2</x:v>
      </x:c>
      <x:c r="R73" s="482" t="n">
        <x:f>Q73/H73</x:f>
        <x:v>0.002</x:v>
      </x:c>
      <x:c r="S73" s="60" t="n">
        <x:f>Q73*'Summary'!$J$12</x:f>
        <x:v>0.02</x:v>
      </x:c>
    </x:row>
    <x:row r="74" ht="25" customHeight="1">
      <x:c r="C74" s="32" t="n">
        <x:v>69</x:v>
      </x:c>
      <x:c r="D74" s="32" t="n">
        <x:v>7</x:v>
      </x:c>
      <x:c r="E74" s="32" t="str">
        <x:v>Spring Foliage &amp; Meadow</x:v>
      </x:c>
      <x:c r="F74" s="179" t="str">
        <x:v>#339933</x:v>
      </x:c>
      <x:c r="G74" s="38" t="str">
        <x:v>Standard</x:v>
      </x:c>
      <x:c r="H74" s="475" t="n">
        <x:f>'Seasons'!F12</x:f>
        <x:v>1000</x:v>
      </x:c>
      <x:c r="I74" s="35" t="n">
        <x:f>'Seasons'!G12</x:f>
        <x:v>0.01</x:v>
      </x:c>
      <x:c r="J74" s="37" t="n">
        <x:f>H74*I74</x:f>
        <x:v>10</x:v>
      </x:c>
      <x:c r="K74" s="35" t="n">
        <x:f>J74*'Seasons'!H12</x:f>
        <x:v>4</x:v>
      </x:c>
      <x:c r="L74" s="35" t="n">
        <x:f>J74*'Seasons'!I12</x:f>
        <x:v>2</x:v>
      </x:c>
      <x:c r="M74" s="35" t="n">
        <x:f>J74*IF(G74="Growth",'Summary'!$J$9,IF(G74="Standard",'Summary'!$J$10,NA()))</x:f>
        <x:v>1</x:v>
      </x:c>
      <x:c r="N74" s="37" t="n">
        <x:f>J74-SUM(K74:M74)</x:f>
        <x:v>3</x:v>
      </x:c>
      <x:c r="O74" s="475" t="n">
        <x:f>'Summary'!$J$21</x:f>
        <x:v>10</x:v>
      </x:c>
      <x:c r="P74" s="475" t="n">
        <x:f>'Summary'!$J$22</x:f>
        <x:v>100</x:v>
      </x:c>
      <x:c r="Q74" s="475" t="n">
        <x:f>'Summary'!$J$24</x:f>
        <x:v>2</x:v>
      </x:c>
      <x:c r="R74" s="481" t="n">
        <x:f>Q74/H74</x:f>
        <x:v>0.002</x:v>
      </x:c>
      <x:c r="S74" s="35" t="n">
        <x:f>Q74*'Summary'!$J$12</x:f>
        <x:v>0.02</x:v>
      </x:c>
    </x:row>
    <x:row r="75" ht="25" customHeight="1">
      <x:c r="C75" s="2" t="n">
        <x:v>70</x:v>
      </x:c>
      <x:c r="D75" s="2" t="n">
        <x:v>7</x:v>
      </x:c>
      <x:c r="E75" s="2" t="str">
        <x:v>Spring Foliage &amp; Meadow</x:v>
      </x:c>
      <x:c r="F75" s="181" t="str">
        <x:v>#336633</x:v>
      </x:c>
      <x:c r="G75" s="38" t="str">
        <x:v>Standard</x:v>
      </x:c>
      <x:c r="H75" s="477" t="n">
        <x:f>'Seasons'!F12</x:f>
        <x:v>1000</x:v>
      </x:c>
      <x:c r="I75" s="60" t="n">
        <x:f>'Seasons'!G12</x:f>
        <x:v>0.01</x:v>
      </x:c>
      <x:c r="J75" s="12" t="n">
        <x:f>H75*I75</x:f>
        <x:v>10</x:v>
      </x:c>
      <x:c r="K75" s="60" t="n">
        <x:f>J75*'Seasons'!H12</x:f>
        <x:v>4</x:v>
      </x:c>
      <x:c r="L75" s="60" t="n">
        <x:f>J75*'Seasons'!I12</x:f>
        <x:v>2</x:v>
      </x:c>
      <x:c r="M75" s="60" t="n">
        <x:f>J75*IF(G75="Growth",'Summary'!$J$9,IF(G75="Standard",'Summary'!$J$10,NA()))</x:f>
        <x:v>1</x:v>
      </x:c>
      <x:c r="N75" s="12" t="n">
        <x:f>J75-SUM(K75:M75)</x:f>
        <x:v>3</x:v>
      </x:c>
      <x:c r="O75" s="477" t="n">
        <x:f>'Summary'!$J$21</x:f>
        <x:v>10</x:v>
      </x:c>
      <x:c r="P75" s="477" t="n">
        <x:f>'Summary'!$J$22</x:f>
        <x:v>100</x:v>
      </x:c>
      <x:c r="Q75" s="477" t="n">
        <x:f>'Summary'!$J$24</x:f>
        <x:v>2</x:v>
      </x:c>
      <x:c r="R75" s="482" t="n">
        <x:f>Q75/H75</x:f>
        <x:v>0.002</x:v>
      </x:c>
      <x:c r="S75" s="60" t="n">
        <x:f>Q75*'Summary'!$J$12</x:f>
        <x:v>0.02</x:v>
      </x:c>
    </x:row>
    <x:row r="76" ht="25" customHeight="1">
      <x:c r="C76" s="32" t="n">
        <x:v>71</x:v>
      </x:c>
      <x:c r="D76" s="32" t="n">
        <x:v>8</x:v>
      </x:c>
      <x:c r="E76" s="32" t="str">
        <x:v>Deep Forest &amp; Pine</x:v>
      </x:c>
      <x:c r="F76" s="183" t="str">
        <x:v>#003300</x:v>
      </x:c>
      <x:c r="G76" s="38" t="str">
        <x:v>Growth</x:v>
      </x:c>
      <x:c r="H76" s="475" t="n">
        <x:f>'Seasons'!F13</x:f>
        <x:v>1000</x:v>
      </x:c>
      <x:c r="I76" s="35" t="n">
        <x:f>'Seasons'!G13</x:f>
        <x:v>0.01</x:v>
      </x:c>
      <x:c r="J76" s="37" t="n">
        <x:f>H76*I76</x:f>
        <x:v>10</x:v>
      </x:c>
      <x:c r="K76" s="35" t="n">
        <x:f>J76*'Seasons'!H13</x:f>
        <x:v>4</x:v>
      </x:c>
      <x:c r="L76" s="35" t="n">
        <x:f>J76*'Seasons'!I13</x:f>
        <x:v>2</x:v>
      </x:c>
      <x:c r="M76" s="35" t="n">
        <x:f>J76*IF(G76="Growth",'Summary'!$J$9,IF(G76="Standard",'Summary'!$J$10,NA()))</x:f>
        <x:v>2</x:v>
      </x:c>
      <x:c r="N76" s="37" t="n">
        <x:f>J76-SUM(K76:M76)</x:f>
        <x:v>2</x:v>
      </x:c>
      <x:c r="O76" s="475" t="n">
        <x:f>'Summary'!$J$21</x:f>
        <x:v>10</x:v>
      </x:c>
      <x:c r="P76" s="475" t="n">
        <x:f>'Summary'!$J$22</x:f>
        <x:v>100</x:v>
      </x:c>
      <x:c r="Q76" s="475" t="n">
        <x:f>'Summary'!$J$24</x:f>
        <x:v>2</x:v>
      </x:c>
      <x:c r="R76" s="481" t="n">
        <x:f>Q76/H76</x:f>
        <x:v>0.002</x:v>
      </x:c>
      <x:c r="S76" s="35" t="n">
        <x:f>Q76*'Summary'!$J$12</x:f>
        <x:v>0.02</x:v>
      </x:c>
    </x:row>
    <x:row r="77" ht="25" customHeight="1">
      <x:c r="C77" s="2" t="n">
        <x:v>72</x:v>
      </x:c>
      <x:c r="D77" s="2" t="n">
        <x:v>8</x:v>
      </x:c>
      <x:c r="E77" s="2" t="str">
        <x:v>Deep Forest &amp; Pine</x:v>
      </x:c>
      <x:c r="F77" s="185" t="str">
        <x:v>#006600</x:v>
      </x:c>
      <x:c r="G77" s="38" t="str">
        <x:v>Growth</x:v>
      </x:c>
      <x:c r="H77" s="477" t="n">
        <x:f>'Seasons'!F13</x:f>
        <x:v>1000</x:v>
      </x:c>
      <x:c r="I77" s="60" t="n">
        <x:f>'Seasons'!G13</x:f>
        <x:v>0.01</x:v>
      </x:c>
      <x:c r="J77" s="12" t="n">
        <x:f>H77*I77</x:f>
        <x:v>10</x:v>
      </x:c>
      <x:c r="K77" s="60" t="n">
        <x:f>J77*'Seasons'!H13</x:f>
        <x:v>4</x:v>
      </x:c>
      <x:c r="L77" s="60" t="n">
        <x:f>J77*'Seasons'!I13</x:f>
        <x:v>2</x:v>
      </x:c>
      <x:c r="M77" s="60" t="n">
        <x:f>J77*IF(G77="Growth",'Summary'!$J$9,IF(G77="Standard",'Summary'!$J$10,NA()))</x:f>
        <x:v>2</x:v>
      </x:c>
      <x:c r="N77" s="12" t="n">
        <x:f>J77-SUM(K77:M77)</x:f>
        <x:v>2</x:v>
      </x:c>
      <x:c r="O77" s="477" t="n">
        <x:f>'Summary'!$J$21</x:f>
        <x:v>10</x:v>
      </x:c>
      <x:c r="P77" s="477" t="n">
        <x:f>'Summary'!$J$22</x:f>
        <x:v>100</x:v>
      </x:c>
      <x:c r="Q77" s="477" t="n">
        <x:f>'Summary'!$J$24</x:f>
        <x:v>2</x:v>
      </x:c>
      <x:c r="R77" s="482" t="n">
        <x:f>Q77/H77</x:f>
        <x:v>0.002</x:v>
      </x:c>
      <x:c r="S77" s="60" t="n">
        <x:f>Q77*'Summary'!$J$12</x:f>
        <x:v>0.02</x:v>
      </x:c>
    </x:row>
    <x:row r="78" ht="25" customHeight="1">
      <x:c r="C78" s="32" t="n">
        <x:v>73</x:v>
      </x:c>
      <x:c r="D78" s="32" t="n">
        <x:v>8</x:v>
      </x:c>
      <x:c r="E78" s="32" t="str">
        <x:v>Deep Forest &amp; Pine</x:v>
      </x:c>
      <x:c r="F78" s="187" t="str">
        <x:v>#009900</x:v>
      </x:c>
      <x:c r="G78" s="38" t="str">
        <x:v>Standard</x:v>
      </x:c>
      <x:c r="H78" s="475" t="n">
        <x:f>'Seasons'!F13</x:f>
        <x:v>1000</x:v>
      </x:c>
      <x:c r="I78" s="35" t="n">
        <x:f>'Seasons'!G13</x:f>
        <x:v>0.01</x:v>
      </x:c>
      <x:c r="J78" s="37" t="n">
        <x:f>H78*I78</x:f>
        <x:v>10</x:v>
      </x:c>
      <x:c r="K78" s="35" t="n">
        <x:f>J78*'Seasons'!H13</x:f>
        <x:v>4</x:v>
      </x:c>
      <x:c r="L78" s="35" t="n">
        <x:f>J78*'Seasons'!I13</x:f>
        <x:v>2</x:v>
      </x:c>
      <x:c r="M78" s="35" t="n">
        <x:f>J78*IF(G78="Growth",'Summary'!$J$9,IF(G78="Standard",'Summary'!$J$10,NA()))</x:f>
        <x:v>1</x:v>
      </x:c>
      <x:c r="N78" s="37" t="n">
        <x:f>J78-SUM(K78:M78)</x:f>
        <x:v>3</x:v>
      </x:c>
      <x:c r="O78" s="475" t="n">
        <x:f>'Summary'!$J$21</x:f>
        <x:v>10</x:v>
      </x:c>
      <x:c r="P78" s="475" t="n">
        <x:f>'Summary'!$J$22</x:f>
        <x:v>100</x:v>
      </x:c>
      <x:c r="Q78" s="475" t="n">
        <x:f>'Summary'!$J$24</x:f>
        <x:v>2</x:v>
      </x:c>
      <x:c r="R78" s="481" t="n">
        <x:f>Q78/H78</x:f>
        <x:v>0.002</x:v>
      </x:c>
      <x:c r="S78" s="35" t="n">
        <x:f>Q78*'Summary'!$J$12</x:f>
        <x:v>0.02</x:v>
      </x:c>
    </x:row>
    <x:row r="79" ht="25" customHeight="1">
      <x:c r="C79" s="2" t="n">
        <x:v>74</x:v>
      </x:c>
      <x:c r="D79" s="2" t="n">
        <x:v>8</x:v>
      </x:c>
      <x:c r="E79" s="2" t="str">
        <x:v>Deep Forest &amp; Pine</x:v>
      </x:c>
      <x:c r="F79" s="189" t="str">
        <x:v>#00CC00</x:v>
      </x:c>
      <x:c r="G79" s="38" t="str">
        <x:v>Standard</x:v>
      </x:c>
      <x:c r="H79" s="477" t="n">
        <x:f>'Seasons'!F13</x:f>
        <x:v>1000</x:v>
      </x:c>
      <x:c r="I79" s="60" t="n">
        <x:f>'Seasons'!G13</x:f>
        <x:v>0.01</x:v>
      </x:c>
      <x:c r="J79" s="12" t="n">
        <x:f>H79*I79</x:f>
        <x:v>10</x:v>
      </x:c>
      <x:c r="K79" s="60" t="n">
        <x:f>J79*'Seasons'!H13</x:f>
        <x:v>4</x:v>
      </x:c>
      <x:c r="L79" s="60" t="n">
        <x:f>J79*'Seasons'!I13</x:f>
        <x:v>2</x:v>
      </x:c>
      <x:c r="M79" s="60" t="n">
        <x:f>J79*IF(G79="Growth",'Summary'!$J$9,IF(G79="Standard",'Summary'!$J$10,NA()))</x:f>
        <x:v>1</x:v>
      </x:c>
      <x:c r="N79" s="12" t="n">
        <x:f>J79-SUM(K79:M79)</x:f>
        <x:v>3</x:v>
      </x:c>
      <x:c r="O79" s="477" t="n">
        <x:f>'Summary'!$J$21</x:f>
        <x:v>10</x:v>
      </x:c>
      <x:c r="P79" s="477" t="n">
        <x:f>'Summary'!$J$22</x:f>
        <x:v>100</x:v>
      </x:c>
      <x:c r="Q79" s="477" t="n">
        <x:f>'Summary'!$J$24</x:f>
        <x:v>2</x:v>
      </x:c>
      <x:c r="R79" s="482" t="n">
        <x:f>Q79/H79</x:f>
        <x:v>0.002</x:v>
      </x:c>
      <x:c r="S79" s="60" t="n">
        <x:f>Q79*'Summary'!$J$12</x:f>
        <x:v>0.02</x:v>
      </x:c>
    </x:row>
    <x:row r="80" ht="25" customHeight="1">
      <x:c r="C80" s="32" t="n">
        <x:v>75</x:v>
      </x:c>
      <x:c r="D80" s="32" t="n">
        <x:v>8</x:v>
      </x:c>
      <x:c r="E80" s="32" t="str">
        <x:v>Deep Forest &amp; Pine</x:v>
      </x:c>
      <x:c r="F80" s="191" t="str">
        <x:v>#00FF00</x:v>
      </x:c>
      <x:c r="G80" s="38" t="str">
        <x:v>Standard</x:v>
      </x:c>
      <x:c r="H80" s="475" t="n">
        <x:f>'Seasons'!F13</x:f>
        <x:v>1000</x:v>
      </x:c>
      <x:c r="I80" s="35" t="n">
        <x:f>'Seasons'!G13</x:f>
        <x:v>0.01</x:v>
      </x:c>
      <x:c r="J80" s="37" t="n">
        <x:f>H80*I80</x:f>
        <x:v>10</x:v>
      </x:c>
      <x:c r="K80" s="35" t="n">
        <x:f>J80*'Seasons'!H13</x:f>
        <x:v>4</x:v>
      </x:c>
      <x:c r="L80" s="35" t="n">
        <x:f>J80*'Seasons'!I13</x:f>
        <x:v>2</x:v>
      </x:c>
      <x:c r="M80" s="35" t="n">
        <x:f>J80*IF(G80="Growth",'Summary'!$J$9,IF(G80="Standard",'Summary'!$J$10,NA()))</x:f>
        <x:v>1</x:v>
      </x:c>
      <x:c r="N80" s="37" t="n">
        <x:f>J80-SUM(K80:M80)</x:f>
        <x:v>3</x:v>
      </x:c>
      <x:c r="O80" s="475" t="n">
        <x:f>'Summary'!$J$21</x:f>
        <x:v>10</x:v>
      </x:c>
      <x:c r="P80" s="475" t="n">
        <x:f>'Summary'!$J$22</x:f>
        <x:v>100</x:v>
      </x:c>
      <x:c r="Q80" s="475" t="n">
        <x:f>'Summary'!$J$24</x:f>
        <x:v>2</x:v>
      </x:c>
      <x:c r="R80" s="481" t="n">
        <x:f>Q80/H80</x:f>
        <x:v>0.002</x:v>
      </x:c>
      <x:c r="S80" s="35" t="n">
        <x:f>Q80*'Summary'!$J$12</x:f>
        <x:v>0.02</x:v>
      </x:c>
    </x:row>
    <x:row r="81" ht="25" customHeight="1">
      <x:c r="C81" s="2" t="n">
        <x:v>76</x:v>
      </x:c>
      <x:c r="D81" s="2" t="n">
        <x:v>8</x:v>
      </x:c>
      <x:c r="E81" s="2" t="str">
        <x:v>Deep Forest &amp; Pine</x:v>
      </x:c>
      <x:c r="F81" s="193" t="str">
        <x:v>#003333</x:v>
      </x:c>
      <x:c r="G81" s="38" t="str">
        <x:v>Standard</x:v>
      </x:c>
      <x:c r="H81" s="477" t="n">
        <x:f>'Seasons'!F13</x:f>
        <x:v>1000</x:v>
      </x:c>
      <x:c r="I81" s="60" t="n">
        <x:f>'Seasons'!G13</x:f>
        <x:v>0.01</x:v>
      </x:c>
      <x:c r="J81" s="12" t="n">
        <x:f>H81*I81</x:f>
        <x:v>10</x:v>
      </x:c>
      <x:c r="K81" s="60" t="n">
        <x:f>J81*'Seasons'!H13</x:f>
        <x:v>4</x:v>
      </x:c>
      <x:c r="L81" s="60" t="n">
        <x:f>J81*'Seasons'!I13</x:f>
        <x:v>2</x:v>
      </x:c>
      <x:c r="M81" s="60" t="n">
        <x:f>J81*IF(G81="Growth",'Summary'!$J$9,IF(G81="Standard",'Summary'!$J$10,NA()))</x:f>
        <x:v>1</x:v>
      </x:c>
      <x:c r="N81" s="12" t="n">
        <x:f>J81-SUM(K81:M81)</x:f>
        <x:v>3</x:v>
      </x:c>
      <x:c r="O81" s="477" t="n">
        <x:f>'Summary'!$J$21</x:f>
        <x:v>10</x:v>
      </x:c>
      <x:c r="P81" s="477" t="n">
        <x:f>'Summary'!$J$22</x:f>
        <x:v>100</x:v>
      </x:c>
      <x:c r="Q81" s="477" t="n">
        <x:f>'Summary'!$J$24</x:f>
        <x:v>2</x:v>
      </x:c>
      <x:c r="R81" s="482" t="n">
        <x:f>Q81/H81</x:f>
        <x:v>0.002</x:v>
      </x:c>
      <x:c r="S81" s="60" t="n">
        <x:f>Q81*'Summary'!$J$12</x:f>
        <x:v>0.02</x:v>
      </x:c>
    </x:row>
    <x:row r="82" ht="25" customHeight="1">
      <x:c r="C82" s="32" t="n">
        <x:v>77</x:v>
      </x:c>
      <x:c r="D82" s="32" t="n">
        <x:v>8</x:v>
      </x:c>
      <x:c r="E82" s="32" t="str">
        <x:v>Deep Forest &amp; Pine</x:v>
      </x:c>
      <x:c r="F82" s="195" t="str">
        <x:v>#006633</x:v>
      </x:c>
      <x:c r="G82" s="38" t="str">
        <x:v>Standard</x:v>
      </x:c>
      <x:c r="H82" s="475" t="n">
        <x:f>'Seasons'!F13</x:f>
        <x:v>1000</x:v>
      </x:c>
      <x:c r="I82" s="35" t="n">
        <x:f>'Seasons'!G13</x:f>
        <x:v>0.01</x:v>
      </x:c>
      <x:c r="J82" s="37" t="n">
        <x:f>H82*I82</x:f>
        <x:v>10</x:v>
      </x:c>
      <x:c r="K82" s="35" t="n">
        <x:f>J82*'Seasons'!H13</x:f>
        <x:v>4</x:v>
      </x:c>
      <x:c r="L82" s="35" t="n">
        <x:f>J82*'Seasons'!I13</x:f>
        <x:v>2</x:v>
      </x:c>
      <x:c r="M82" s="35" t="n">
        <x:f>J82*IF(G82="Growth",'Summary'!$J$9,IF(G82="Standard",'Summary'!$J$10,NA()))</x:f>
        <x:v>1</x:v>
      </x:c>
      <x:c r="N82" s="37" t="n">
        <x:f>J82-SUM(K82:M82)</x:f>
        <x:v>3</x:v>
      </x:c>
      <x:c r="O82" s="475" t="n">
        <x:f>'Summary'!$J$21</x:f>
        <x:v>10</x:v>
      </x:c>
      <x:c r="P82" s="475" t="n">
        <x:f>'Summary'!$J$22</x:f>
        <x:v>100</x:v>
      </x:c>
      <x:c r="Q82" s="475" t="n">
        <x:f>'Summary'!$J$24</x:f>
        <x:v>2</x:v>
      </x:c>
      <x:c r="R82" s="481" t="n">
        <x:f>Q82/H82</x:f>
        <x:v>0.002</x:v>
      </x:c>
      <x:c r="S82" s="35" t="n">
        <x:f>Q82*'Summary'!$J$12</x:f>
        <x:v>0.02</x:v>
      </x:c>
    </x:row>
    <x:row r="83" ht="25" customHeight="1">
      <x:c r="C83" s="2" t="n">
        <x:v>78</x:v>
      </x:c>
      <x:c r="D83" s="2" t="n">
        <x:v>8</x:v>
      </x:c>
      <x:c r="E83" s="2" t="str">
        <x:v>Deep Forest &amp; Pine</x:v>
      </x:c>
      <x:c r="F83" s="197" t="str">
        <x:v>#009933</x:v>
      </x:c>
      <x:c r="G83" s="38" t="str">
        <x:v>Standard</x:v>
      </x:c>
      <x:c r="H83" s="477" t="n">
        <x:f>'Seasons'!F13</x:f>
        <x:v>1000</x:v>
      </x:c>
      <x:c r="I83" s="60" t="n">
        <x:f>'Seasons'!G13</x:f>
        <x:v>0.01</x:v>
      </x:c>
      <x:c r="J83" s="12" t="n">
        <x:f>H83*I83</x:f>
        <x:v>10</x:v>
      </x:c>
      <x:c r="K83" s="60" t="n">
        <x:f>J83*'Seasons'!H13</x:f>
        <x:v>4</x:v>
      </x:c>
      <x:c r="L83" s="60" t="n">
        <x:f>J83*'Seasons'!I13</x:f>
        <x:v>2</x:v>
      </x:c>
      <x:c r="M83" s="60" t="n">
        <x:f>J83*IF(G83="Growth",'Summary'!$J$9,IF(G83="Standard",'Summary'!$J$10,NA()))</x:f>
        <x:v>1</x:v>
      </x:c>
      <x:c r="N83" s="12" t="n">
        <x:f>J83-SUM(K83:M83)</x:f>
        <x:v>3</x:v>
      </x:c>
      <x:c r="O83" s="477" t="n">
        <x:f>'Summary'!$J$21</x:f>
        <x:v>10</x:v>
      </x:c>
      <x:c r="P83" s="477" t="n">
        <x:f>'Summary'!$J$22</x:f>
        <x:v>100</x:v>
      </x:c>
      <x:c r="Q83" s="477" t="n">
        <x:f>'Summary'!$J$24</x:f>
        <x:v>2</x:v>
      </x:c>
      <x:c r="R83" s="482" t="n">
        <x:f>Q83/H83</x:f>
        <x:v>0.002</x:v>
      </x:c>
      <x:c r="S83" s="60" t="n">
        <x:f>Q83*'Summary'!$J$12</x:f>
        <x:v>0.02</x:v>
      </x:c>
    </x:row>
    <x:row r="84" ht="25" customHeight="1">
      <x:c r="C84" s="32" t="n">
        <x:v>79</x:v>
      </x:c>
      <x:c r="D84" s="32" t="n">
        <x:v>8</x:v>
      </x:c>
      <x:c r="E84" s="32" t="str">
        <x:v>Deep Forest &amp; Pine</x:v>
      </x:c>
      <x:c r="F84" s="199" t="str">
        <x:v>#00CC33</x:v>
      </x:c>
      <x:c r="G84" s="38" t="str">
        <x:v>Standard</x:v>
      </x:c>
      <x:c r="H84" s="475" t="n">
        <x:f>'Seasons'!F13</x:f>
        <x:v>1000</x:v>
      </x:c>
      <x:c r="I84" s="35" t="n">
        <x:f>'Seasons'!G13</x:f>
        <x:v>0.01</x:v>
      </x:c>
      <x:c r="J84" s="37" t="n">
        <x:f>H84*I84</x:f>
        <x:v>10</x:v>
      </x:c>
      <x:c r="K84" s="35" t="n">
        <x:f>J84*'Seasons'!H13</x:f>
        <x:v>4</x:v>
      </x:c>
      <x:c r="L84" s="35" t="n">
        <x:f>J84*'Seasons'!I13</x:f>
        <x:v>2</x:v>
      </x:c>
      <x:c r="M84" s="35" t="n">
        <x:f>J84*IF(G84="Growth",'Summary'!$J$9,IF(G84="Standard",'Summary'!$J$10,NA()))</x:f>
        <x:v>1</x:v>
      </x:c>
      <x:c r="N84" s="37" t="n">
        <x:f>J84-SUM(K84:M84)</x:f>
        <x:v>3</x:v>
      </x:c>
      <x:c r="O84" s="475" t="n">
        <x:f>'Summary'!$J$21</x:f>
        <x:v>10</x:v>
      </x:c>
      <x:c r="P84" s="475" t="n">
        <x:f>'Summary'!$J$22</x:f>
        <x:v>100</x:v>
      </x:c>
      <x:c r="Q84" s="475" t="n">
        <x:f>'Summary'!$J$24</x:f>
        <x:v>2</x:v>
      </x:c>
      <x:c r="R84" s="481" t="n">
        <x:f>Q84/H84</x:f>
        <x:v>0.002</x:v>
      </x:c>
      <x:c r="S84" s="35" t="n">
        <x:f>Q84*'Summary'!$J$12</x:f>
        <x:v>0.02</x:v>
      </x:c>
    </x:row>
    <x:row r="85" ht="25" customHeight="1">
      <x:c r="C85" s="2" t="n">
        <x:v>80</x:v>
      </x:c>
      <x:c r="D85" s="2" t="n">
        <x:v>8</x:v>
      </x:c>
      <x:c r="E85" s="2" t="str">
        <x:v>Deep Forest &amp; Pine</x:v>
      </x:c>
      <x:c r="F85" s="201" t="str">
        <x:v>#00FF33</x:v>
      </x:c>
      <x:c r="G85" s="38" t="str">
        <x:v>Standard</x:v>
      </x:c>
      <x:c r="H85" s="477" t="n">
        <x:f>'Seasons'!F13</x:f>
        <x:v>1000</x:v>
      </x:c>
      <x:c r="I85" s="60" t="n">
        <x:f>'Seasons'!G13</x:f>
        <x:v>0.01</x:v>
      </x:c>
      <x:c r="J85" s="12" t="n">
        <x:f>H85*I85</x:f>
        <x:v>10</x:v>
      </x:c>
      <x:c r="K85" s="60" t="n">
        <x:f>J85*'Seasons'!H13</x:f>
        <x:v>4</x:v>
      </x:c>
      <x:c r="L85" s="60" t="n">
        <x:f>J85*'Seasons'!I13</x:f>
        <x:v>2</x:v>
      </x:c>
      <x:c r="M85" s="60" t="n">
        <x:f>J85*IF(G85="Growth",'Summary'!$J$9,IF(G85="Standard",'Summary'!$J$10,NA()))</x:f>
        <x:v>1</x:v>
      </x:c>
      <x:c r="N85" s="12" t="n">
        <x:f>J85-SUM(K85:M85)</x:f>
        <x:v>3</x:v>
      </x:c>
      <x:c r="O85" s="477" t="n">
        <x:f>'Summary'!$J$21</x:f>
        <x:v>10</x:v>
      </x:c>
      <x:c r="P85" s="477" t="n">
        <x:f>'Summary'!$J$22</x:f>
        <x:v>100</x:v>
      </x:c>
      <x:c r="Q85" s="477" t="n">
        <x:f>'Summary'!$J$24</x:f>
        <x:v>2</x:v>
      </x:c>
      <x:c r="R85" s="482" t="n">
        <x:f>Q85/H85</x:f>
        <x:v>0.002</x:v>
      </x:c>
      <x:c r="S85" s="60" t="n">
        <x:f>Q85*'Summary'!$J$12</x:f>
        <x:v>0.02</x:v>
      </x:c>
    </x:row>
    <x:row r="86" ht="25" customHeight="1">
      <x:c r="C86" s="32" t="n">
        <x:v>81</x:v>
      </x:c>
      <x:c r="D86" s="32" t="n">
        <x:v>9</x:v>
      </x:c>
      <x:c r="E86" s="32" t="str">
        <x:v>Spearmint &amp; Crisp Jade</x:v>
      </x:c>
      <x:c r="F86" s="203" t="str">
        <x:v>#00FF66</x:v>
      </x:c>
      <x:c r="G86" s="38" t="str">
        <x:v>Growth</x:v>
      </x:c>
      <x:c r="H86" s="475" t="n">
        <x:f>'Seasons'!F14</x:f>
        <x:v>1000</x:v>
      </x:c>
      <x:c r="I86" s="35" t="n">
        <x:f>'Seasons'!G14</x:f>
        <x:v>0.01</x:v>
      </x:c>
      <x:c r="J86" s="37" t="n">
        <x:f>H86*I86</x:f>
        <x:v>10</x:v>
      </x:c>
      <x:c r="K86" s="35" t="n">
        <x:f>J86*'Seasons'!H14</x:f>
        <x:v>4</x:v>
      </x:c>
      <x:c r="L86" s="35" t="n">
        <x:f>J86*'Seasons'!I14</x:f>
        <x:v>2</x:v>
      </x:c>
      <x:c r="M86" s="35" t="n">
        <x:f>J86*IF(G86="Growth",'Summary'!$J$9,IF(G86="Standard",'Summary'!$J$10,NA()))</x:f>
        <x:v>2</x:v>
      </x:c>
      <x:c r="N86" s="37" t="n">
        <x:f>J86-SUM(K86:M86)</x:f>
        <x:v>2</x:v>
      </x:c>
      <x:c r="O86" s="475" t="n">
        <x:f>'Summary'!$J$21</x:f>
        <x:v>10</x:v>
      </x:c>
      <x:c r="P86" s="475" t="n">
        <x:f>'Summary'!$J$22</x:f>
        <x:v>100</x:v>
      </x:c>
      <x:c r="Q86" s="475" t="n">
        <x:f>'Summary'!$J$24</x:f>
        <x:v>2</x:v>
      </x:c>
      <x:c r="R86" s="481" t="n">
        <x:f>Q86/H86</x:f>
        <x:v>0.002</x:v>
      </x:c>
      <x:c r="S86" s="35" t="n">
        <x:f>Q86*'Summary'!$J$12</x:f>
        <x:v>0.02</x:v>
      </x:c>
    </x:row>
    <x:row r="87" ht="25" customHeight="1">
      <x:c r="C87" s="2" t="n">
        <x:v>82</x:v>
      </x:c>
      <x:c r="D87" s="2" t="n">
        <x:v>9</x:v>
      </x:c>
      <x:c r="E87" s="2" t="str">
        <x:v>Spearmint &amp; Crisp Jade</x:v>
      </x:c>
      <x:c r="F87" s="205" t="str">
        <x:v>#00FF99</x:v>
      </x:c>
      <x:c r="G87" s="38" t="str">
        <x:v>Growth</x:v>
      </x:c>
      <x:c r="H87" s="477" t="n">
        <x:f>'Seasons'!F14</x:f>
        <x:v>1000</x:v>
      </x:c>
      <x:c r="I87" s="60" t="n">
        <x:f>'Seasons'!G14</x:f>
        <x:v>0.01</x:v>
      </x:c>
      <x:c r="J87" s="12" t="n">
        <x:f>H87*I87</x:f>
        <x:v>10</x:v>
      </x:c>
      <x:c r="K87" s="60" t="n">
        <x:f>J87*'Seasons'!H14</x:f>
        <x:v>4</x:v>
      </x:c>
      <x:c r="L87" s="60" t="n">
        <x:f>J87*'Seasons'!I14</x:f>
        <x:v>2</x:v>
      </x:c>
      <x:c r="M87" s="60" t="n">
        <x:f>J87*IF(G87="Growth",'Summary'!$J$9,IF(G87="Standard",'Summary'!$J$10,NA()))</x:f>
        <x:v>2</x:v>
      </x:c>
      <x:c r="N87" s="12" t="n">
        <x:f>J87-SUM(K87:M87)</x:f>
        <x:v>2</x:v>
      </x:c>
      <x:c r="O87" s="477" t="n">
        <x:f>'Summary'!$J$21</x:f>
        <x:v>10</x:v>
      </x:c>
      <x:c r="P87" s="477" t="n">
        <x:f>'Summary'!$J$22</x:f>
        <x:v>100</x:v>
      </x:c>
      <x:c r="Q87" s="477" t="n">
        <x:f>'Summary'!$J$24</x:f>
        <x:v>2</x:v>
      </x:c>
      <x:c r="R87" s="482" t="n">
        <x:f>Q87/H87</x:f>
        <x:v>0.002</x:v>
      </x:c>
      <x:c r="S87" s="60" t="n">
        <x:f>Q87*'Summary'!$J$12</x:f>
        <x:v>0.02</x:v>
      </x:c>
    </x:row>
    <x:row r="88" ht="25" customHeight="1">
      <x:c r="C88" s="32" t="n">
        <x:v>83</x:v>
      </x:c>
      <x:c r="D88" s="32" t="n">
        <x:v>9</x:v>
      </x:c>
      <x:c r="E88" s="32" t="str">
        <x:v>Spearmint &amp; Crisp Jade</x:v>
      </x:c>
      <x:c r="F88" s="207" t="str">
        <x:v>#33FF66</x:v>
      </x:c>
      <x:c r="G88" s="38" t="str">
        <x:v>Standard</x:v>
      </x:c>
      <x:c r="H88" s="475" t="n">
        <x:f>'Seasons'!F14</x:f>
        <x:v>1000</x:v>
      </x:c>
      <x:c r="I88" s="35" t="n">
        <x:f>'Seasons'!G14</x:f>
        <x:v>0.01</x:v>
      </x:c>
      <x:c r="J88" s="37" t="n">
        <x:f>H88*I88</x:f>
        <x:v>10</x:v>
      </x:c>
      <x:c r="K88" s="35" t="n">
        <x:f>J88*'Seasons'!H14</x:f>
        <x:v>4</x:v>
      </x:c>
      <x:c r="L88" s="35" t="n">
        <x:f>J88*'Seasons'!I14</x:f>
        <x:v>2</x:v>
      </x:c>
      <x:c r="M88" s="35" t="n">
        <x:f>J88*IF(G88="Growth",'Summary'!$J$9,IF(G88="Standard",'Summary'!$J$10,NA()))</x:f>
        <x:v>1</x:v>
      </x:c>
      <x:c r="N88" s="37" t="n">
        <x:f>J88-SUM(K88:M88)</x:f>
        <x:v>3</x:v>
      </x:c>
      <x:c r="O88" s="475" t="n">
        <x:f>'Summary'!$J$21</x:f>
        <x:v>10</x:v>
      </x:c>
      <x:c r="P88" s="475" t="n">
        <x:f>'Summary'!$J$22</x:f>
        <x:v>100</x:v>
      </x:c>
      <x:c r="Q88" s="475" t="n">
        <x:f>'Summary'!$J$24</x:f>
        <x:v>2</x:v>
      </x:c>
      <x:c r="R88" s="481" t="n">
        <x:f>Q88/H88</x:f>
        <x:v>0.002</x:v>
      </x:c>
      <x:c r="S88" s="35" t="n">
        <x:f>Q88*'Summary'!$J$12</x:f>
        <x:v>0.02</x:v>
      </x:c>
    </x:row>
    <x:row r="89" ht="25" customHeight="1">
      <x:c r="C89" s="2" t="n">
        <x:v>84</x:v>
      </x:c>
      <x:c r="D89" s="2" t="n">
        <x:v>9</x:v>
      </x:c>
      <x:c r="E89" s="2" t="str">
        <x:v>Spearmint &amp; Crisp Jade</x:v>
      </x:c>
      <x:c r="F89" s="209" t="str">
        <x:v>#33FF99</x:v>
      </x:c>
      <x:c r="G89" s="38" t="str">
        <x:v>Standard</x:v>
      </x:c>
      <x:c r="H89" s="477" t="n">
        <x:f>'Seasons'!F14</x:f>
        <x:v>1000</x:v>
      </x:c>
      <x:c r="I89" s="60" t="n">
        <x:f>'Seasons'!G14</x:f>
        <x:v>0.01</x:v>
      </x:c>
      <x:c r="J89" s="12" t="n">
        <x:f>H89*I89</x:f>
        <x:v>10</x:v>
      </x:c>
      <x:c r="K89" s="60" t="n">
        <x:f>J89*'Seasons'!H14</x:f>
        <x:v>4</x:v>
      </x:c>
      <x:c r="L89" s="60" t="n">
        <x:f>J89*'Seasons'!I14</x:f>
        <x:v>2</x:v>
      </x:c>
      <x:c r="M89" s="60" t="n">
        <x:f>J89*IF(G89="Growth",'Summary'!$J$9,IF(G89="Standard",'Summary'!$J$10,NA()))</x:f>
        <x:v>1</x:v>
      </x:c>
      <x:c r="N89" s="12" t="n">
        <x:f>J89-SUM(K89:M89)</x:f>
        <x:v>3</x:v>
      </x:c>
      <x:c r="O89" s="477" t="n">
        <x:f>'Summary'!$J$21</x:f>
        <x:v>10</x:v>
      </x:c>
      <x:c r="P89" s="477" t="n">
        <x:f>'Summary'!$J$22</x:f>
        <x:v>100</x:v>
      </x:c>
      <x:c r="Q89" s="477" t="n">
        <x:f>'Summary'!$J$24</x:f>
        <x:v>2</x:v>
      </x:c>
      <x:c r="R89" s="482" t="n">
        <x:f>Q89/H89</x:f>
        <x:v>0.002</x:v>
      </x:c>
      <x:c r="S89" s="60" t="n">
        <x:f>Q89*'Summary'!$J$12</x:f>
        <x:v>0.02</x:v>
      </x:c>
    </x:row>
    <x:row r="90" ht="25" customHeight="1">
      <x:c r="C90" s="32" t="n">
        <x:v>85</x:v>
      </x:c>
      <x:c r="D90" s="32" t="n">
        <x:v>9</x:v>
      </x:c>
      <x:c r="E90" s="32" t="str">
        <x:v>Spearmint &amp; Crisp Jade</x:v>
      </x:c>
      <x:c r="F90" s="211" t="str">
        <x:v>#66FF66</x:v>
      </x:c>
      <x:c r="G90" s="38" t="str">
        <x:v>Standard</x:v>
      </x:c>
      <x:c r="H90" s="475" t="n">
        <x:f>'Seasons'!F14</x:f>
        <x:v>1000</x:v>
      </x:c>
      <x:c r="I90" s="35" t="n">
        <x:f>'Seasons'!G14</x:f>
        <x:v>0.01</x:v>
      </x:c>
      <x:c r="J90" s="37" t="n">
        <x:f>H90*I90</x:f>
        <x:v>10</x:v>
      </x:c>
      <x:c r="K90" s="35" t="n">
        <x:f>J90*'Seasons'!H14</x:f>
        <x:v>4</x:v>
      </x:c>
      <x:c r="L90" s="35" t="n">
        <x:f>J90*'Seasons'!I14</x:f>
        <x:v>2</x:v>
      </x:c>
      <x:c r="M90" s="35" t="n">
        <x:f>J90*IF(G90="Growth",'Summary'!$J$9,IF(G90="Standard",'Summary'!$J$10,NA()))</x:f>
        <x:v>1</x:v>
      </x:c>
      <x:c r="N90" s="37" t="n">
        <x:f>J90-SUM(K90:M90)</x:f>
        <x:v>3</x:v>
      </x:c>
      <x:c r="O90" s="475" t="n">
        <x:f>'Summary'!$J$21</x:f>
        <x:v>10</x:v>
      </x:c>
      <x:c r="P90" s="475" t="n">
        <x:f>'Summary'!$J$22</x:f>
        <x:v>100</x:v>
      </x:c>
      <x:c r="Q90" s="475" t="n">
        <x:f>'Summary'!$J$24</x:f>
        <x:v>2</x:v>
      </x:c>
      <x:c r="R90" s="481" t="n">
        <x:f>Q90/H90</x:f>
        <x:v>0.002</x:v>
      </x:c>
      <x:c r="S90" s="35" t="n">
        <x:f>Q90*'Summary'!$J$12</x:f>
        <x:v>0.02</x:v>
      </x:c>
    </x:row>
    <x:row r="91" ht="25" customHeight="1">
      <x:c r="C91" s="2" t="n">
        <x:v>86</x:v>
      </x:c>
      <x:c r="D91" s="2" t="n">
        <x:v>9</x:v>
      </x:c>
      <x:c r="E91" s="2" t="str">
        <x:v>Spearmint &amp; Crisp Jade</x:v>
      </x:c>
      <x:c r="F91" s="213" t="str">
        <x:v>#66FF99</x:v>
      </x:c>
      <x:c r="G91" s="38" t="str">
        <x:v>Standard</x:v>
      </x:c>
      <x:c r="H91" s="477" t="n">
        <x:f>'Seasons'!F14</x:f>
        <x:v>1000</x:v>
      </x:c>
      <x:c r="I91" s="60" t="n">
        <x:f>'Seasons'!G14</x:f>
        <x:v>0.01</x:v>
      </x:c>
      <x:c r="J91" s="12" t="n">
        <x:f>H91*I91</x:f>
        <x:v>10</x:v>
      </x:c>
      <x:c r="K91" s="60" t="n">
        <x:f>J91*'Seasons'!H14</x:f>
        <x:v>4</x:v>
      </x:c>
      <x:c r="L91" s="60" t="n">
        <x:f>J91*'Seasons'!I14</x:f>
        <x:v>2</x:v>
      </x:c>
      <x:c r="M91" s="60" t="n">
        <x:f>J91*IF(G91="Growth",'Summary'!$J$9,IF(G91="Standard",'Summary'!$J$10,NA()))</x:f>
        <x:v>1</x:v>
      </x:c>
      <x:c r="N91" s="12" t="n">
        <x:f>J91-SUM(K91:M91)</x:f>
        <x:v>3</x:v>
      </x:c>
      <x:c r="O91" s="477" t="n">
        <x:f>'Summary'!$J$21</x:f>
        <x:v>10</x:v>
      </x:c>
      <x:c r="P91" s="477" t="n">
        <x:f>'Summary'!$J$22</x:f>
        <x:v>100</x:v>
      </x:c>
      <x:c r="Q91" s="477" t="n">
        <x:f>'Summary'!$J$24</x:f>
        <x:v>2</x:v>
      </x:c>
      <x:c r="R91" s="482" t="n">
        <x:f>Q91/H91</x:f>
        <x:v>0.002</x:v>
      </x:c>
      <x:c r="S91" s="60" t="n">
        <x:f>Q91*'Summary'!$J$12</x:f>
        <x:v>0.02</x:v>
      </x:c>
    </x:row>
    <x:row r="92" ht="25" customHeight="1">
      <x:c r="C92" s="32" t="n">
        <x:v>87</x:v>
      </x:c>
      <x:c r="D92" s="32" t="n">
        <x:v>9</x:v>
      </x:c>
      <x:c r="E92" s="32" t="str">
        <x:v>Spearmint &amp; Crisp Jade</x:v>
      </x:c>
      <x:c r="F92" s="215" t="str">
        <x:v>#99FF66</x:v>
      </x:c>
      <x:c r="G92" s="38" t="str">
        <x:v>Standard</x:v>
      </x:c>
      <x:c r="H92" s="475" t="n">
        <x:f>'Seasons'!F14</x:f>
        <x:v>1000</x:v>
      </x:c>
      <x:c r="I92" s="35" t="n">
        <x:f>'Seasons'!G14</x:f>
        <x:v>0.01</x:v>
      </x:c>
      <x:c r="J92" s="37" t="n">
        <x:f>H92*I92</x:f>
        <x:v>10</x:v>
      </x:c>
      <x:c r="K92" s="35" t="n">
        <x:f>J92*'Seasons'!H14</x:f>
        <x:v>4</x:v>
      </x:c>
      <x:c r="L92" s="35" t="n">
        <x:f>J92*'Seasons'!I14</x:f>
        <x:v>2</x:v>
      </x:c>
      <x:c r="M92" s="35" t="n">
        <x:f>J92*IF(G92="Growth",'Summary'!$J$9,IF(G92="Standard",'Summary'!$J$10,NA()))</x:f>
        <x:v>1</x:v>
      </x:c>
      <x:c r="N92" s="37" t="n">
        <x:f>J92-SUM(K92:M92)</x:f>
        <x:v>3</x:v>
      </x:c>
      <x:c r="O92" s="475" t="n">
        <x:f>'Summary'!$J$21</x:f>
        <x:v>10</x:v>
      </x:c>
      <x:c r="P92" s="475" t="n">
        <x:f>'Summary'!$J$22</x:f>
        <x:v>100</x:v>
      </x:c>
      <x:c r="Q92" s="475" t="n">
        <x:f>'Summary'!$J$24</x:f>
        <x:v>2</x:v>
      </x:c>
      <x:c r="R92" s="481" t="n">
        <x:f>Q92/H92</x:f>
        <x:v>0.002</x:v>
      </x:c>
      <x:c r="S92" s="35" t="n">
        <x:f>Q92*'Summary'!$J$12</x:f>
        <x:v>0.02</x:v>
      </x:c>
    </x:row>
    <x:row r="93" ht="25" customHeight="1">
      <x:c r="C93" s="2" t="n">
        <x:v>88</x:v>
      </x:c>
      <x:c r="D93" s="2" t="n">
        <x:v>9</x:v>
      </x:c>
      <x:c r="E93" s="2" t="str">
        <x:v>Spearmint &amp; Crisp Jade</x:v>
      </x:c>
      <x:c r="F93" s="217" t="str">
        <x:v>#99FF99</x:v>
      </x:c>
      <x:c r="G93" s="38" t="str">
        <x:v>Standard</x:v>
      </x:c>
      <x:c r="H93" s="477" t="n">
        <x:f>'Seasons'!F14</x:f>
        <x:v>1000</x:v>
      </x:c>
      <x:c r="I93" s="60" t="n">
        <x:f>'Seasons'!G14</x:f>
        <x:v>0.01</x:v>
      </x:c>
      <x:c r="J93" s="12" t="n">
        <x:f>H93*I93</x:f>
        <x:v>10</x:v>
      </x:c>
      <x:c r="K93" s="60" t="n">
        <x:f>J93*'Seasons'!H14</x:f>
        <x:v>4</x:v>
      </x:c>
      <x:c r="L93" s="60" t="n">
        <x:f>J93*'Seasons'!I14</x:f>
        <x:v>2</x:v>
      </x:c>
      <x:c r="M93" s="60" t="n">
        <x:f>J93*IF(G93="Growth",'Summary'!$J$9,IF(G93="Standard",'Summary'!$J$10,NA()))</x:f>
        <x:v>1</x:v>
      </x:c>
      <x:c r="N93" s="12" t="n">
        <x:f>J93-SUM(K93:M93)</x:f>
        <x:v>3</x:v>
      </x:c>
      <x:c r="O93" s="477" t="n">
        <x:f>'Summary'!$J$21</x:f>
        <x:v>10</x:v>
      </x:c>
      <x:c r="P93" s="477" t="n">
        <x:f>'Summary'!$J$22</x:f>
        <x:v>100</x:v>
      </x:c>
      <x:c r="Q93" s="477" t="n">
        <x:f>'Summary'!$J$24</x:f>
        <x:v>2</x:v>
      </x:c>
      <x:c r="R93" s="482" t="n">
        <x:f>Q93/H93</x:f>
        <x:v>0.002</x:v>
      </x:c>
      <x:c r="S93" s="60" t="n">
        <x:f>Q93*'Summary'!$J$12</x:f>
        <x:v>0.02</x:v>
      </x:c>
    </x:row>
    <x:row r="94" ht="25" customHeight="1">
      <x:c r="C94" s="32" t="n">
        <x:v>89</x:v>
      </x:c>
      <x:c r="D94" s="32" t="n">
        <x:v>9</x:v>
      </x:c>
      <x:c r="E94" s="32" t="str">
        <x:v>Spearmint &amp; Crisp Jade</x:v>
      </x:c>
      <x:c r="F94" s="219" t="str">
        <x:v>#00CC66</x:v>
      </x:c>
      <x:c r="G94" s="38" t="str">
        <x:v>Standard</x:v>
      </x:c>
      <x:c r="H94" s="475" t="n">
        <x:f>'Seasons'!F14</x:f>
        <x:v>1000</x:v>
      </x:c>
      <x:c r="I94" s="35" t="n">
        <x:f>'Seasons'!G14</x:f>
        <x:v>0.01</x:v>
      </x:c>
      <x:c r="J94" s="37" t="n">
        <x:f>H94*I94</x:f>
        <x:v>10</x:v>
      </x:c>
      <x:c r="K94" s="35" t="n">
        <x:f>J94*'Seasons'!H14</x:f>
        <x:v>4</x:v>
      </x:c>
      <x:c r="L94" s="35" t="n">
        <x:f>J94*'Seasons'!I14</x:f>
        <x:v>2</x:v>
      </x:c>
      <x:c r="M94" s="35" t="n">
        <x:f>J94*IF(G94="Growth",'Summary'!$J$9,IF(G94="Standard",'Summary'!$J$10,NA()))</x:f>
        <x:v>1</x:v>
      </x:c>
      <x:c r="N94" s="37" t="n">
        <x:f>J94-SUM(K94:M94)</x:f>
        <x:v>3</x:v>
      </x:c>
      <x:c r="O94" s="475" t="n">
        <x:f>'Summary'!$J$21</x:f>
        <x:v>10</x:v>
      </x:c>
      <x:c r="P94" s="475" t="n">
        <x:f>'Summary'!$J$22</x:f>
        <x:v>100</x:v>
      </x:c>
      <x:c r="Q94" s="475" t="n">
        <x:f>'Summary'!$J$24</x:f>
        <x:v>2</x:v>
      </x:c>
      <x:c r="R94" s="481" t="n">
        <x:f>Q94/H94</x:f>
        <x:v>0.002</x:v>
      </x:c>
      <x:c r="S94" s="35" t="n">
        <x:f>Q94*'Summary'!$J$12</x:f>
        <x:v>0.02</x:v>
      </x:c>
    </x:row>
    <x:row r="95" ht="25" customHeight="1">
      <x:c r="C95" s="2" t="n">
        <x:v>90</x:v>
      </x:c>
      <x:c r="D95" s="2" t="n">
        <x:v>9</x:v>
      </x:c>
      <x:c r="E95" s="2" t="str">
        <x:v>Spearmint &amp; Crisp Jade</x:v>
      </x:c>
      <x:c r="F95" s="221" t="str">
        <x:v>#33CC66</x:v>
      </x:c>
      <x:c r="G95" s="38" t="str">
        <x:v>Standard</x:v>
      </x:c>
      <x:c r="H95" s="477" t="n">
        <x:f>'Seasons'!F14</x:f>
        <x:v>1000</x:v>
      </x:c>
      <x:c r="I95" s="60" t="n">
        <x:f>'Seasons'!G14</x:f>
        <x:v>0.01</x:v>
      </x:c>
      <x:c r="J95" s="12" t="n">
        <x:f>H95*I95</x:f>
        <x:v>10</x:v>
      </x:c>
      <x:c r="K95" s="60" t="n">
        <x:f>J95*'Seasons'!H14</x:f>
        <x:v>4</x:v>
      </x:c>
      <x:c r="L95" s="60" t="n">
        <x:f>J95*'Seasons'!I14</x:f>
        <x:v>2</x:v>
      </x:c>
      <x:c r="M95" s="60" t="n">
        <x:f>J95*IF(G95="Growth",'Summary'!$J$9,IF(G95="Standard",'Summary'!$J$10,NA()))</x:f>
        <x:v>1</x:v>
      </x:c>
      <x:c r="N95" s="12" t="n">
        <x:f>J95-SUM(K95:M95)</x:f>
        <x:v>3</x:v>
      </x:c>
      <x:c r="O95" s="477" t="n">
        <x:f>'Summary'!$J$21</x:f>
        <x:v>10</x:v>
      </x:c>
      <x:c r="P95" s="477" t="n">
        <x:f>'Summary'!$J$22</x:f>
        <x:v>100</x:v>
      </x:c>
      <x:c r="Q95" s="477" t="n">
        <x:f>'Summary'!$J$24</x:f>
        <x:v>2</x:v>
      </x:c>
      <x:c r="R95" s="482" t="n">
        <x:f>Q95/H95</x:f>
        <x:v>0.002</x:v>
      </x:c>
      <x:c r="S95" s="60" t="n">
        <x:f>Q95*'Summary'!$J$12</x:f>
        <x:v>0.02</x:v>
      </x:c>
    </x:row>
    <x:row r="96" ht="25" customHeight="1">
      <x:c r="C96" s="32" t="n">
        <x:v>91</x:v>
      </x:c>
      <x:c r="D96" s="32" t="n">
        <x:v>10</x:v>
      </x:c>
      <x:c r="E96" s="32" t="str">
        <x:v>Abyssal Waters &amp; Dark Teal</x:v>
      </x:c>
      <x:c r="F96" s="223" t="str">
        <x:v>#003366</x:v>
      </x:c>
      <x:c r="G96" s="38" t="str">
        <x:v>Growth</x:v>
      </x:c>
      <x:c r="H96" s="475" t="n">
        <x:f>'Seasons'!F15</x:f>
        <x:v>1000</x:v>
      </x:c>
      <x:c r="I96" s="35" t="n">
        <x:f>'Seasons'!G15</x:f>
        <x:v>0.01</x:v>
      </x:c>
      <x:c r="J96" s="37" t="n">
        <x:f>H96*I96</x:f>
        <x:v>10</x:v>
      </x:c>
      <x:c r="K96" s="35" t="n">
        <x:f>J96*'Seasons'!H15</x:f>
        <x:v>4</x:v>
      </x:c>
      <x:c r="L96" s="35" t="n">
        <x:f>J96*'Seasons'!I15</x:f>
        <x:v>2</x:v>
      </x:c>
      <x:c r="M96" s="35" t="n">
        <x:f>J96*IF(G96="Growth",'Summary'!$J$9,IF(G96="Standard",'Summary'!$J$10,NA()))</x:f>
        <x:v>2</x:v>
      </x:c>
      <x:c r="N96" s="37" t="n">
        <x:f>J96-SUM(K96:M96)</x:f>
        <x:v>2</x:v>
      </x:c>
      <x:c r="O96" s="475" t="n">
        <x:f>'Summary'!$J$21</x:f>
        <x:v>10</x:v>
      </x:c>
      <x:c r="P96" s="475" t="n">
        <x:f>'Summary'!$J$22</x:f>
        <x:v>100</x:v>
      </x:c>
      <x:c r="Q96" s="475" t="n">
        <x:f>'Summary'!$J$24</x:f>
        <x:v>2</x:v>
      </x:c>
      <x:c r="R96" s="481" t="n">
        <x:f>Q96/H96</x:f>
        <x:v>0.002</x:v>
      </x:c>
      <x:c r="S96" s="35" t="n">
        <x:f>Q96*'Summary'!$J$12</x:f>
        <x:v>0.02</x:v>
      </x:c>
    </x:row>
    <x:row r="97" ht="25" customHeight="1">
      <x:c r="C97" s="2" t="n">
        <x:v>92</x:v>
      </x:c>
      <x:c r="D97" s="2" t="n">
        <x:v>10</x:v>
      </x:c>
      <x:c r="E97" s="2" t="str">
        <x:v>Abyssal Waters &amp; Dark Teal</x:v>
      </x:c>
      <x:c r="F97" s="225" t="str">
        <x:v>#006666</x:v>
      </x:c>
      <x:c r="G97" s="38" t="str">
        <x:v>Growth</x:v>
      </x:c>
      <x:c r="H97" s="477" t="n">
        <x:f>'Seasons'!F15</x:f>
        <x:v>1000</x:v>
      </x:c>
      <x:c r="I97" s="60" t="n">
        <x:f>'Seasons'!G15</x:f>
        <x:v>0.01</x:v>
      </x:c>
      <x:c r="J97" s="12" t="n">
        <x:f>H97*I97</x:f>
        <x:v>10</x:v>
      </x:c>
      <x:c r="K97" s="60" t="n">
        <x:f>J97*'Seasons'!H15</x:f>
        <x:v>4</x:v>
      </x:c>
      <x:c r="L97" s="60" t="n">
        <x:f>J97*'Seasons'!I15</x:f>
        <x:v>2</x:v>
      </x:c>
      <x:c r="M97" s="60" t="n">
        <x:f>J97*IF(G97="Growth",'Summary'!$J$9,IF(G97="Standard",'Summary'!$J$10,NA()))</x:f>
        <x:v>2</x:v>
      </x:c>
      <x:c r="N97" s="12" t="n">
        <x:f>J97-SUM(K97:M97)</x:f>
        <x:v>2</x:v>
      </x:c>
      <x:c r="O97" s="477" t="n">
        <x:f>'Summary'!$J$21</x:f>
        <x:v>10</x:v>
      </x:c>
      <x:c r="P97" s="477" t="n">
        <x:f>'Summary'!$J$22</x:f>
        <x:v>100</x:v>
      </x:c>
      <x:c r="Q97" s="477" t="n">
        <x:f>'Summary'!$J$24</x:f>
        <x:v>2</x:v>
      </x:c>
      <x:c r="R97" s="482" t="n">
        <x:f>Q97/H97</x:f>
        <x:v>0.002</x:v>
      </x:c>
      <x:c r="S97" s="60" t="n">
        <x:f>Q97*'Summary'!$J$12</x:f>
        <x:v>0.02</x:v>
      </x:c>
    </x:row>
    <x:row r="98" ht="25" customHeight="1">
      <x:c r="C98" s="32" t="n">
        <x:v>93</x:v>
      </x:c>
      <x:c r="D98" s="32" t="n">
        <x:v>10</x:v>
      </x:c>
      <x:c r="E98" s="32" t="str">
        <x:v>Abyssal Waters &amp; Dark Teal</x:v>
      </x:c>
      <x:c r="F98" s="227" t="str">
        <x:v>#006699</x:v>
      </x:c>
      <x:c r="G98" s="38" t="str">
        <x:v>Standard</x:v>
      </x:c>
      <x:c r="H98" s="475" t="n">
        <x:f>'Seasons'!F15</x:f>
        <x:v>1000</x:v>
      </x:c>
      <x:c r="I98" s="35" t="n">
        <x:f>'Seasons'!G15</x:f>
        <x:v>0.01</x:v>
      </x:c>
      <x:c r="J98" s="37" t="n">
        <x:f>H98*I98</x:f>
        <x:v>10</x:v>
      </x:c>
      <x:c r="K98" s="35" t="n">
        <x:f>J98*'Seasons'!H15</x:f>
        <x:v>4</x:v>
      </x:c>
      <x:c r="L98" s="35" t="n">
        <x:f>J98*'Seasons'!I15</x:f>
        <x:v>2</x:v>
      </x:c>
      <x:c r="M98" s="35" t="n">
        <x:f>J98*IF(G98="Growth",'Summary'!$J$9,IF(G98="Standard",'Summary'!$J$10,NA()))</x:f>
        <x:v>1</x:v>
      </x:c>
      <x:c r="N98" s="37" t="n">
        <x:f>J98-SUM(K98:M98)</x:f>
        <x:v>3</x:v>
      </x:c>
      <x:c r="O98" s="475" t="n">
        <x:f>'Summary'!$J$21</x:f>
        <x:v>10</x:v>
      </x:c>
      <x:c r="P98" s="475" t="n">
        <x:f>'Summary'!$J$22</x:f>
        <x:v>100</x:v>
      </x:c>
      <x:c r="Q98" s="475" t="n">
        <x:f>'Summary'!$J$24</x:f>
        <x:v>2</x:v>
      </x:c>
      <x:c r="R98" s="481" t="n">
        <x:f>Q98/H98</x:f>
        <x:v>0.002</x:v>
      </x:c>
      <x:c r="S98" s="35" t="n">
        <x:f>Q98*'Summary'!$J$12</x:f>
        <x:v>0.02</x:v>
      </x:c>
    </x:row>
    <x:row r="99" ht="25" customHeight="1">
      <x:c r="C99" s="2" t="n">
        <x:v>94</x:v>
      </x:c>
      <x:c r="D99" s="2" t="n">
        <x:v>10</x:v>
      </x:c>
      <x:c r="E99" s="2" t="str">
        <x:v>Abyssal Waters &amp; Dark Teal</x:v>
      </x:c>
      <x:c r="F99" s="229" t="str">
        <x:v>#009966</x:v>
      </x:c>
      <x:c r="G99" s="38" t="str">
        <x:v>Standard</x:v>
      </x:c>
      <x:c r="H99" s="477" t="n">
        <x:f>'Seasons'!F15</x:f>
        <x:v>1000</x:v>
      </x:c>
      <x:c r="I99" s="60" t="n">
        <x:f>'Seasons'!G15</x:f>
        <x:v>0.01</x:v>
      </x:c>
      <x:c r="J99" s="12" t="n">
        <x:f>H99*I99</x:f>
        <x:v>10</x:v>
      </x:c>
      <x:c r="K99" s="60" t="n">
        <x:f>J99*'Seasons'!H15</x:f>
        <x:v>4</x:v>
      </x:c>
      <x:c r="L99" s="60" t="n">
        <x:f>J99*'Seasons'!I15</x:f>
        <x:v>2</x:v>
      </x:c>
      <x:c r="M99" s="60" t="n">
        <x:f>J99*IF(G99="Growth",'Summary'!$J$9,IF(G99="Standard",'Summary'!$J$10,NA()))</x:f>
        <x:v>1</x:v>
      </x:c>
      <x:c r="N99" s="12" t="n">
        <x:f>J99-SUM(K99:M99)</x:f>
        <x:v>3</x:v>
      </x:c>
      <x:c r="O99" s="477" t="n">
        <x:f>'Summary'!$J$21</x:f>
        <x:v>10</x:v>
      </x:c>
      <x:c r="P99" s="477" t="n">
        <x:f>'Summary'!$J$22</x:f>
        <x:v>100</x:v>
      </x:c>
      <x:c r="Q99" s="477" t="n">
        <x:f>'Summary'!$J$24</x:f>
        <x:v>2</x:v>
      </x:c>
      <x:c r="R99" s="482" t="n">
        <x:f>Q99/H99</x:f>
        <x:v>0.002</x:v>
      </x:c>
      <x:c r="S99" s="60" t="n">
        <x:f>Q99*'Summary'!$J$12</x:f>
        <x:v>0.02</x:v>
      </x:c>
    </x:row>
    <x:row r="100" ht="25" customHeight="1">
      <x:c r="C100" s="32" t="n">
        <x:v>95</x:v>
      </x:c>
      <x:c r="D100" s="32" t="n">
        <x:v>10</x:v>
      </x:c>
      <x:c r="E100" s="32" t="str">
        <x:v>Abyssal Waters &amp; Dark Teal</x:v>
      </x:c>
      <x:c r="F100" s="231" t="str">
        <x:v>#009999</x:v>
      </x:c>
      <x:c r="G100" s="38" t="str">
        <x:v>Standard</x:v>
      </x:c>
      <x:c r="H100" s="475" t="n">
        <x:f>'Seasons'!F15</x:f>
        <x:v>1000</x:v>
      </x:c>
      <x:c r="I100" s="35" t="n">
        <x:f>'Seasons'!G15</x:f>
        <x:v>0.01</x:v>
      </x:c>
      <x:c r="J100" s="37" t="n">
        <x:f>H100*I100</x:f>
        <x:v>10</x:v>
      </x:c>
      <x:c r="K100" s="35" t="n">
        <x:f>J100*'Seasons'!H15</x:f>
        <x:v>4</x:v>
      </x:c>
      <x:c r="L100" s="35" t="n">
        <x:f>J100*'Seasons'!I15</x:f>
        <x:v>2</x:v>
      </x:c>
      <x:c r="M100" s="35" t="n">
        <x:f>J100*IF(G100="Growth",'Summary'!$J$9,IF(G100="Standard",'Summary'!$J$10,NA()))</x:f>
        <x:v>1</x:v>
      </x:c>
      <x:c r="N100" s="37" t="n">
        <x:f>J100-SUM(K100:M100)</x:f>
        <x:v>3</x:v>
      </x:c>
      <x:c r="O100" s="475" t="n">
        <x:f>'Summary'!$J$21</x:f>
        <x:v>10</x:v>
      </x:c>
      <x:c r="P100" s="475" t="n">
        <x:f>'Summary'!$J$22</x:f>
        <x:v>100</x:v>
      </x:c>
      <x:c r="Q100" s="475" t="n">
        <x:f>'Summary'!$J$24</x:f>
        <x:v>2</x:v>
      </x:c>
      <x:c r="R100" s="481" t="n">
        <x:f>Q100/H100</x:f>
        <x:v>0.002</x:v>
      </x:c>
      <x:c r="S100" s="35" t="n">
        <x:f>Q100*'Summary'!$J$12</x:f>
        <x:v>0.02</x:v>
      </x:c>
    </x:row>
    <x:row r="101" ht="25" customHeight="1">
      <x:c r="C101" s="2" t="n">
        <x:v>96</x:v>
      </x:c>
      <x:c r="D101" s="2" t="n">
        <x:v>10</x:v>
      </x:c>
      <x:c r="E101" s="2" t="str">
        <x:v>Abyssal Waters &amp; Dark Teal</x:v>
      </x:c>
      <x:c r="F101" s="233" t="str">
        <x:v>#336666</x:v>
      </x:c>
      <x:c r="G101" s="38" t="str">
        <x:v>Standard</x:v>
      </x:c>
      <x:c r="H101" s="477" t="n">
        <x:f>'Seasons'!F15</x:f>
        <x:v>1000</x:v>
      </x:c>
      <x:c r="I101" s="60" t="n">
        <x:f>'Seasons'!G15</x:f>
        <x:v>0.01</x:v>
      </x:c>
      <x:c r="J101" s="12" t="n">
        <x:f>H101*I101</x:f>
        <x:v>10</x:v>
      </x:c>
      <x:c r="K101" s="60" t="n">
        <x:f>J101*'Seasons'!H15</x:f>
        <x:v>4</x:v>
      </x:c>
      <x:c r="L101" s="60" t="n">
        <x:f>J101*'Seasons'!I15</x:f>
        <x:v>2</x:v>
      </x:c>
      <x:c r="M101" s="60" t="n">
        <x:f>J101*IF(G101="Growth",'Summary'!$J$9,IF(G101="Standard",'Summary'!$J$10,NA()))</x:f>
        <x:v>1</x:v>
      </x:c>
      <x:c r="N101" s="12" t="n">
        <x:f>J101-SUM(K101:M101)</x:f>
        <x:v>3</x:v>
      </x:c>
      <x:c r="O101" s="477" t="n">
        <x:f>'Summary'!$J$21</x:f>
        <x:v>10</x:v>
      </x:c>
      <x:c r="P101" s="477" t="n">
        <x:f>'Summary'!$J$22</x:f>
        <x:v>100</x:v>
      </x:c>
      <x:c r="Q101" s="477" t="n">
        <x:f>'Summary'!$J$24</x:f>
        <x:v>2</x:v>
      </x:c>
      <x:c r="R101" s="482" t="n">
        <x:f>Q101/H101</x:f>
        <x:v>0.002</x:v>
      </x:c>
      <x:c r="S101" s="60" t="n">
        <x:f>Q101*'Summary'!$J$12</x:f>
        <x:v>0.02</x:v>
      </x:c>
    </x:row>
    <x:row r="102" ht="25" customHeight="1">
      <x:c r="C102" s="32" t="n">
        <x:v>97</x:v>
      </x:c>
      <x:c r="D102" s="32" t="n">
        <x:v>10</x:v>
      </x:c>
      <x:c r="E102" s="32" t="str">
        <x:v>Abyssal Waters &amp; Dark Teal</x:v>
      </x:c>
      <x:c r="F102" s="235" t="str">
        <x:v>#339966</x:v>
      </x:c>
      <x:c r="G102" s="38" t="str">
        <x:v>Standard</x:v>
      </x:c>
      <x:c r="H102" s="475" t="n">
        <x:f>'Seasons'!F15</x:f>
        <x:v>1000</x:v>
      </x:c>
      <x:c r="I102" s="35" t="n">
        <x:f>'Seasons'!G15</x:f>
        <x:v>0.01</x:v>
      </x:c>
      <x:c r="J102" s="37" t="n">
        <x:f>H102*I102</x:f>
        <x:v>10</x:v>
      </x:c>
      <x:c r="K102" s="35" t="n">
        <x:f>J102*'Seasons'!H15</x:f>
        <x:v>4</x:v>
      </x:c>
      <x:c r="L102" s="35" t="n">
        <x:f>J102*'Seasons'!I15</x:f>
        <x:v>2</x:v>
      </x:c>
      <x:c r="M102" s="35" t="n">
        <x:f>J102*IF(G102="Growth",'Summary'!$J$9,IF(G102="Standard",'Summary'!$J$10,NA()))</x:f>
        <x:v>1</x:v>
      </x:c>
      <x:c r="N102" s="37" t="n">
        <x:f>J102-SUM(K102:M102)</x:f>
        <x:v>3</x:v>
      </x:c>
      <x:c r="O102" s="475" t="n">
        <x:f>'Summary'!$J$21</x:f>
        <x:v>10</x:v>
      </x:c>
      <x:c r="P102" s="475" t="n">
        <x:f>'Summary'!$J$22</x:f>
        <x:v>100</x:v>
      </x:c>
      <x:c r="Q102" s="475" t="n">
        <x:f>'Summary'!$J$24</x:f>
        <x:v>2</x:v>
      </x:c>
      <x:c r="R102" s="481" t="n">
        <x:f>Q102/H102</x:f>
        <x:v>0.002</x:v>
      </x:c>
      <x:c r="S102" s="35" t="n">
        <x:f>Q102*'Summary'!$J$12</x:f>
        <x:v>0.02</x:v>
      </x:c>
    </x:row>
    <x:row r="103" ht="25" customHeight="1">
      <x:c r="C103" s="2" t="n">
        <x:v>98</x:v>
      </x:c>
      <x:c r="D103" s="2" t="n">
        <x:v>10</x:v>
      </x:c>
      <x:c r="E103" s="2" t="str">
        <x:v>Abyssal Waters &amp; Dark Teal</x:v>
      </x:c>
      <x:c r="F103" s="237" t="str">
        <x:v>#339999</x:v>
      </x:c>
      <x:c r="G103" s="38" t="str">
        <x:v>Standard</x:v>
      </x:c>
      <x:c r="H103" s="477" t="n">
        <x:f>'Seasons'!F15</x:f>
        <x:v>1000</x:v>
      </x:c>
      <x:c r="I103" s="60" t="n">
        <x:f>'Seasons'!G15</x:f>
        <x:v>0.01</x:v>
      </x:c>
      <x:c r="J103" s="12" t="n">
        <x:f>H103*I103</x:f>
        <x:v>10</x:v>
      </x:c>
      <x:c r="K103" s="60" t="n">
        <x:f>J103*'Seasons'!H15</x:f>
        <x:v>4</x:v>
      </x:c>
      <x:c r="L103" s="60" t="n">
        <x:f>J103*'Seasons'!I15</x:f>
        <x:v>2</x:v>
      </x:c>
      <x:c r="M103" s="60" t="n">
        <x:f>J103*IF(G103="Growth",'Summary'!$J$9,IF(G103="Standard",'Summary'!$J$10,NA()))</x:f>
        <x:v>1</x:v>
      </x:c>
      <x:c r="N103" s="12" t="n">
        <x:f>J103-SUM(K103:M103)</x:f>
        <x:v>3</x:v>
      </x:c>
      <x:c r="O103" s="477" t="n">
        <x:f>'Summary'!$J$21</x:f>
        <x:v>10</x:v>
      </x:c>
      <x:c r="P103" s="477" t="n">
        <x:f>'Summary'!$J$22</x:f>
        <x:v>100</x:v>
      </x:c>
      <x:c r="Q103" s="477" t="n">
        <x:f>'Summary'!$J$24</x:f>
        <x:v>2</x:v>
      </x:c>
      <x:c r="R103" s="482" t="n">
        <x:f>Q103/H103</x:f>
        <x:v>0.002</x:v>
      </x:c>
      <x:c r="S103" s="60" t="n">
        <x:f>Q103*'Summary'!$J$12</x:f>
        <x:v>0.02</x:v>
      </x:c>
    </x:row>
    <x:row r="104" ht="25" customHeight="1">
      <x:c r="C104" s="32" t="n">
        <x:v>99</x:v>
      </x:c>
      <x:c r="D104" s="32" t="n">
        <x:v>10</x:v>
      </x:c>
      <x:c r="E104" s="32" t="str">
        <x:v>Abyssal Waters &amp; Dark Teal</x:v>
      </x:c>
      <x:c r="F104" s="239" t="str">
        <x:v>#003399</x:v>
      </x:c>
      <x:c r="G104" s="38" t="str">
        <x:v>Standard</x:v>
      </x:c>
      <x:c r="H104" s="475" t="n">
        <x:f>'Seasons'!F15</x:f>
        <x:v>1000</x:v>
      </x:c>
      <x:c r="I104" s="35" t="n">
        <x:f>'Seasons'!G15</x:f>
        <x:v>0.01</x:v>
      </x:c>
      <x:c r="J104" s="37" t="n">
        <x:f>H104*I104</x:f>
        <x:v>10</x:v>
      </x:c>
      <x:c r="K104" s="35" t="n">
        <x:f>J104*'Seasons'!H15</x:f>
        <x:v>4</x:v>
      </x:c>
      <x:c r="L104" s="35" t="n">
        <x:f>J104*'Seasons'!I15</x:f>
        <x:v>2</x:v>
      </x:c>
      <x:c r="M104" s="35" t="n">
        <x:f>J104*IF(G104="Growth",'Summary'!$J$9,IF(G104="Standard",'Summary'!$J$10,NA()))</x:f>
        <x:v>1</x:v>
      </x:c>
      <x:c r="N104" s="37" t="n">
        <x:f>J104-SUM(K104:M104)</x:f>
        <x:v>3</x:v>
      </x:c>
      <x:c r="O104" s="475" t="n">
        <x:f>'Summary'!$J$21</x:f>
        <x:v>10</x:v>
      </x:c>
      <x:c r="P104" s="475" t="n">
        <x:f>'Summary'!$J$22</x:f>
        <x:v>100</x:v>
      </x:c>
      <x:c r="Q104" s="475" t="n">
        <x:f>'Summary'!$J$24</x:f>
        <x:v>2</x:v>
      </x:c>
      <x:c r="R104" s="481" t="n">
        <x:f>Q104/H104</x:f>
        <x:v>0.002</x:v>
      </x:c>
      <x:c r="S104" s="35" t="n">
        <x:f>Q104*'Summary'!$J$12</x:f>
        <x:v>0.02</x:v>
      </x:c>
    </x:row>
    <x:row r="105" ht="25" customHeight="1">
      <x:c r="C105" s="2" t="n">
        <x:v>100</x:v>
      </x:c>
      <x:c r="D105" s="2" t="n">
        <x:v>10</x:v>
      </x:c>
      <x:c r="E105" s="2" t="str">
        <x:v>Abyssal Waters &amp; Dark Teal</x:v>
      </x:c>
      <x:c r="F105" s="241" t="str">
        <x:v>#0033CC</x:v>
      </x:c>
      <x:c r="G105" s="38" t="str">
        <x:v>Standard</x:v>
      </x:c>
      <x:c r="H105" s="477" t="n">
        <x:f>'Seasons'!F15</x:f>
        <x:v>1000</x:v>
      </x:c>
      <x:c r="I105" s="60" t="n">
        <x:f>'Seasons'!G15</x:f>
        <x:v>0.01</x:v>
      </x:c>
      <x:c r="J105" s="12" t="n">
        <x:f>H105*I105</x:f>
        <x:v>10</x:v>
      </x:c>
      <x:c r="K105" s="60" t="n">
        <x:f>J105*'Seasons'!H15</x:f>
        <x:v>4</x:v>
      </x:c>
      <x:c r="L105" s="60" t="n">
        <x:f>J105*'Seasons'!I15</x:f>
        <x:v>2</x:v>
      </x:c>
      <x:c r="M105" s="60" t="n">
        <x:f>J105*IF(G105="Growth",'Summary'!$J$9,IF(G105="Standard",'Summary'!$J$10,NA()))</x:f>
        <x:v>1</x:v>
      </x:c>
      <x:c r="N105" s="12" t="n">
        <x:f>J105-SUM(K105:M105)</x:f>
        <x:v>3</x:v>
      </x:c>
      <x:c r="O105" s="477" t="n">
        <x:f>'Summary'!$J$21</x:f>
        <x:v>10</x:v>
      </x:c>
      <x:c r="P105" s="477" t="n">
        <x:f>'Summary'!$J$22</x:f>
        <x:v>100</x:v>
      </x:c>
      <x:c r="Q105" s="477" t="n">
        <x:f>'Summary'!$J$24</x:f>
        <x:v>2</x:v>
      </x:c>
      <x:c r="R105" s="482" t="n">
        <x:f>Q105/H105</x:f>
        <x:v>0.002</x:v>
      </x:c>
      <x:c r="S105" s="60" t="n">
        <x:f>Q105*'Summary'!$J$12</x:f>
        <x:v>0.02</x:v>
      </x:c>
    </x:row>
    <x:row r="106" ht="25" customHeight="1">
      <x:c r="C106" s="32" t="n">
        <x:v>101</x:v>
      </x:c>
      <x:c r="D106" s="32" t="n">
        <x:v>11</x:v>
      </x:c>
      <x:c r="E106" s="32" t="str">
        <x:v>Electric Cyan &amp; Turquoise</x:v>
      </x:c>
      <x:c r="F106" s="243" t="str">
        <x:v>#00CC99</x:v>
      </x:c>
      <x:c r="G106" s="38" t="str">
        <x:v>Growth</x:v>
      </x:c>
      <x:c r="H106" s="475" t="n">
        <x:f>'Seasons'!F16</x:f>
        <x:v>1000</x:v>
      </x:c>
      <x:c r="I106" s="35" t="n">
        <x:f>'Seasons'!G16</x:f>
        <x:v>0.01</x:v>
      </x:c>
      <x:c r="J106" s="37" t="n">
        <x:f>H106*I106</x:f>
        <x:v>10</x:v>
      </x:c>
      <x:c r="K106" s="35" t="n">
        <x:f>J106*'Seasons'!H16</x:f>
        <x:v>4</x:v>
      </x:c>
      <x:c r="L106" s="35" t="n">
        <x:f>J106*'Seasons'!I16</x:f>
        <x:v>2</x:v>
      </x:c>
      <x:c r="M106" s="35" t="n">
        <x:f>J106*IF(G106="Growth",'Summary'!$J$9,IF(G106="Standard",'Summary'!$J$10,NA()))</x:f>
        <x:v>2</x:v>
      </x:c>
      <x:c r="N106" s="37" t="n">
        <x:f>J106-SUM(K106:M106)</x:f>
        <x:v>2</x:v>
      </x:c>
      <x:c r="O106" s="475" t="n">
        <x:f>'Summary'!$J$21</x:f>
        <x:v>10</x:v>
      </x:c>
      <x:c r="P106" s="475" t="n">
        <x:f>'Summary'!$J$22</x:f>
        <x:v>100</x:v>
      </x:c>
      <x:c r="Q106" s="475" t="n">
        <x:f>'Summary'!$J$24</x:f>
        <x:v>2</x:v>
      </x:c>
      <x:c r="R106" s="481" t="n">
        <x:f>Q106/H106</x:f>
        <x:v>0.002</x:v>
      </x:c>
      <x:c r="S106" s="35" t="n">
        <x:f>Q106*'Summary'!$J$12</x:f>
        <x:v>0.02</x:v>
      </x:c>
    </x:row>
    <x:row r="107" ht="25" customHeight="1">
      <x:c r="C107" s="2" t="n">
        <x:v>102</x:v>
      </x:c>
      <x:c r="D107" s="2" t="n">
        <x:v>11</x:v>
      </x:c>
      <x:c r="E107" s="2" t="str">
        <x:v>Electric Cyan &amp; Turquoise</x:v>
      </x:c>
      <x:c r="F107" s="245" t="str">
        <x:v>#00CCCC</x:v>
      </x:c>
      <x:c r="G107" s="38" t="str">
        <x:v>Growth</x:v>
      </x:c>
      <x:c r="H107" s="477" t="n">
        <x:f>'Seasons'!F16</x:f>
        <x:v>1000</x:v>
      </x:c>
      <x:c r="I107" s="60" t="n">
        <x:f>'Seasons'!G16</x:f>
        <x:v>0.01</x:v>
      </x:c>
      <x:c r="J107" s="12" t="n">
        <x:f>H107*I107</x:f>
        <x:v>10</x:v>
      </x:c>
      <x:c r="K107" s="60" t="n">
        <x:f>J107*'Seasons'!H16</x:f>
        <x:v>4</x:v>
      </x:c>
      <x:c r="L107" s="60" t="n">
        <x:f>J107*'Seasons'!I16</x:f>
        <x:v>2</x:v>
      </x:c>
      <x:c r="M107" s="60" t="n">
        <x:f>J107*IF(G107="Growth",'Summary'!$J$9,IF(G107="Standard",'Summary'!$J$10,NA()))</x:f>
        <x:v>2</x:v>
      </x:c>
      <x:c r="N107" s="12" t="n">
        <x:f>J107-SUM(K107:M107)</x:f>
        <x:v>2</x:v>
      </x:c>
      <x:c r="O107" s="477" t="n">
        <x:f>'Summary'!$J$21</x:f>
        <x:v>10</x:v>
      </x:c>
      <x:c r="P107" s="477" t="n">
        <x:f>'Summary'!$J$22</x:f>
        <x:v>100</x:v>
      </x:c>
      <x:c r="Q107" s="477" t="n">
        <x:f>'Summary'!$J$24</x:f>
        <x:v>2</x:v>
      </x:c>
      <x:c r="R107" s="482" t="n">
        <x:f>Q107/H107</x:f>
        <x:v>0.002</x:v>
      </x:c>
      <x:c r="S107" s="60" t="n">
        <x:f>Q107*'Summary'!$J$12</x:f>
        <x:v>0.02</x:v>
      </x:c>
    </x:row>
    <x:row r="108" ht="25" customHeight="1">
      <x:c r="C108" s="32" t="n">
        <x:v>103</x:v>
      </x:c>
      <x:c r="D108" s="32" t="n">
        <x:v>11</x:v>
      </x:c>
      <x:c r="E108" s="32" t="str">
        <x:v>Electric Cyan &amp; Turquoise</x:v>
      </x:c>
      <x:c r="F108" s="247" t="str">
        <x:v>#00CCFF</x:v>
      </x:c>
      <x:c r="G108" s="38" t="str">
        <x:v>Standard</x:v>
      </x:c>
      <x:c r="H108" s="475" t="n">
        <x:f>'Seasons'!F16</x:f>
        <x:v>1000</x:v>
      </x:c>
      <x:c r="I108" s="35" t="n">
        <x:f>'Seasons'!G16</x:f>
        <x:v>0.01</x:v>
      </x:c>
      <x:c r="J108" s="37" t="n">
        <x:f>H108*I108</x:f>
        <x:v>10</x:v>
      </x:c>
      <x:c r="K108" s="35" t="n">
        <x:f>J108*'Seasons'!H16</x:f>
        <x:v>4</x:v>
      </x:c>
      <x:c r="L108" s="35" t="n">
        <x:f>J108*'Seasons'!I16</x:f>
        <x:v>2</x:v>
      </x:c>
      <x:c r="M108" s="35" t="n">
        <x:f>J108*IF(G108="Growth",'Summary'!$J$9,IF(G108="Standard",'Summary'!$J$10,NA()))</x:f>
        <x:v>1</x:v>
      </x:c>
      <x:c r="N108" s="37" t="n">
        <x:f>J108-SUM(K108:M108)</x:f>
        <x:v>3</x:v>
      </x:c>
      <x:c r="O108" s="475" t="n">
        <x:f>'Summary'!$J$21</x:f>
        <x:v>10</x:v>
      </x:c>
      <x:c r="P108" s="475" t="n">
        <x:f>'Summary'!$J$22</x:f>
        <x:v>100</x:v>
      </x:c>
      <x:c r="Q108" s="475" t="n">
        <x:f>'Summary'!$J$24</x:f>
        <x:v>2</x:v>
      </x:c>
      <x:c r="R108" s="481" t="n">
        <x:f>Q108/H108</x:f>
        <x:v>0.002</x:v>
      </x:c>
      <x:c r="S108" s="35" t="n">
        <x:f>Q108*'Summary'!$J$12</x:f>
        <x:v>0.02</x:v>
      </x:c>
    </x:row>
    <x:row r="109" ht="25" customHeight="1">
      <x:c r="C109" s="2" t="n">
        <x:v>104</x:v>
      </x:c>
      <x:c r="D109" s="2" t="n">
        <x:v>11</x:v>
      </x:c>
      <x:c r="E109" s="2" t="str">
        <x:v>Electric Cyan &amp; Turquoise</x:v>
      </x:c>
      <x:c r="F109" s="249" t="str">
        <x:v>#00FFCC</x:v>
      </x:c>
      <x:c r="G109" s="38" t="str">
        <x:v>Standard</x:v>
      </x:c>
      <x:c r="H109" s="477" t="n">
        <x:f>'Seasons'!F16</x:f>
        <x:v>1000</x:v>
      </x:c>
      <x:c r="I109" s="60" t="n">
        <x:f>'Seasons'!G16</x:f>
        <x:v>0.01</x:v>
      </x:c>
      <x:c r="J109" s="12" t="n">
        <x:f>H109*I109</x:f>
        <x:v>10</x:v>
      </x:c>
      <x:c r="K109" s="60" t="n">
        <x:f>J109*'Seasons'!H16</x:f>
        <x:v>4</x:v>
      </x:c>
      <x:c r="L109" s="60" t="n">
        <x:f>J109*'Seasons'!I16</x:f>
        <x:v>2</x:v>
      </x:c>
      <x:c r="M109" s="60" t="n">
        <x:f>J109*IF(G109="Growth",'Summary'!$J$9,IF(G109="Standard",'Summary'!$J$10,NA()))</x:f>
        <x:v>1</x:v>
      </x:c>
      <x:c r="N109" s="12" t="n">
        <x:f>J109-SUM(K109:M109)</x:f>
        <x:v>3</x:v>
      </x:c>
      <x:c r="O109" s="477" t="n">
        <x:f>'Summary'!$J$21</x:f>
        <x:v>10</x:v>
      </x:c>
      <x:c r="P109" s="477" t="n">
        <x:f>'Summary'!$J$22</x:f>
        <x:v>100</x:v>
      </x:c>
      <x:c r="Q109" s="477" t="n">
        <x:f>'Summary'!$J$24</x:f>
        <x:v>2</x:v>
      </x:c>
      <x:c r="R109" s="482" t="n">
        <x:f>Q109/H109</x:f>
        <x:v>0.002</x:v>
      </x:c>
      <x:c r="S109" s="60" t="n">
        <x:f>Q109*'Summary'!$J$12</x:f>
        <x:v>0.02</x:v>
      </x:c>
    </x:row>
    <x:row r="110" ht="25" customHeight="1">
      <x:c r="C110" s="32" t="n">
        <x:v>105</x:v>
      </x:c>
      <x:c r="D110" s="32" t="n">
        <x:v>11</x:v>
      </x:c>
      <x:c r="E110" s="32" t="str">
        <x:v>Electric Cyan &amp; Turquoise</x:v>
      </x:c>
      <x:c r="F110" s="251" t="str">
        <x:v>#00FFFF</x:v>
      </x:c>
      <x:c r="G110" s="38" t="str">
        <x:v>Standard</x:v>
      </x:c>
      <x:c r="H110" s="475" t="n">
        <x:f>'Seasons'!F16</x:f>
        <x:v>1000</x:v>
      </x:c>
      <x:c r="I110" s="35" t="n">
        <x:f>'Seasons'!G16</x:f>
        <x:v>0.01</x:v>
      </x:c>
      <x:c r="J110" s="37" t="n">
        <x:f>H110*I110</x:f>
        <x:v>10</x:v>
      </x:c>
      <x:c r="K110" s="35" t="n">
        <x:f>J110*'Seasons'!H16</x:f>
        <x:v>4</x:v>
      </x:c>
      <x:c r="L110" s="35" t="n">
        <x:f>J110*'Seasons'!I16</x:f>
        <x:v>2</x:v>
      </x:c>
      <x:c r="M110" s="35" t="n">
        <x:f>J110*IF(G110="Growth",'Summary'!$J$9,IF(G110="Standard",'Summary'!$J$10,NA()))</x:f>
        <x:v>1</x:v>
      </x:c>
      <x:c r="N110" s="37" t="n">
        <x:f>J110-SUM(K110:M110)</x:f>
        <x:v>3</x:v>
      </x:c>
      <x:c r="O110" s="475" t="n">
        <x:f>'Summary'!$J$21</x:f>
        <x:v>10</x:v>
      </x:c>
      <x:c r="P110" s="475" t="n">
        <x:f>'Summary'!$J$22</x:f>
        <x:v>100</x:v>
      </x:c>
      <x:c r="Q110" s="475" t="n">
        <x:f>'Summary'!$J$24</x:f>
        <x:v>2</x:v>
      </x:c>
      <x:c r="R110" s="481" t="n">
        <x:f>Q110/H110</x:f>
        <x:v>0.002</x:v>
      </x:c>
      <x:c r="S110" s="35" t="n">
        <x:f>Q110*'Summary'!$J$12</x:f>
        <x:v>0.02</x:v>
      </x:c>
    </x:row>
    <x:row r="111" ht="25" customHeight="1">
      <x:c r="C111" s="2" t="n">
        <x:v>106</x:v>
      </x:c>
      <x:c r="D111" s="2" t="n">
        <x:v>11</x:v>
      </x:c>
      <x:c r="E111" s="2" t="str">
        <x:v>Electric Cyan &amp; Turquoise</x:v>
      </x:c>
      <x:c r="F111" s="253" t="str">
        <x:v>#33CCCC</x:v>
      </x:c>
      <x:c r="G111" s="38" t="str">
        <x:v>Standard</x:v>
      </x:c>
      <x:c r="H111" s="477" t="n">
        <x:f>'Seasons'!F16</x:f>
        <x:v>1000</x:v>
      </x:c>
      <x:c r="I111" s="60" t="n">
        <x:f>'Seasons'!G16</x:f>
        <x:v>0.01</x:v>
      </x:c>
      <x:c r="J111" s="12" t="n">
        <x:f>H111*I111</x:f>
        <x:v>10</x:v>
      </x:c>
      <x:c r="K111" s="60" t="n">
        <x:f>J111*'Seasons'!H16</x:f>
        <x:v>4</x:v>
      </x:c>
      <x:c r="L111" s="60" t="n">
        <x:f>J111*'Seasons'!I16</x:f>
        <x:v>2</x:v>
      </x:c>
      <x:c r="M111" s="60" t="n">
        <x:f>J111*IF(G111="Growth",'Summary'!$J$9,IF(G111="Standard",'Summary'!$J$10,NA()))</x:f>
        <x:v>1</x:v>
      </x:c>
      <x:c r="N111" s="12" t="n">
        <x:f>J111-SUM(K111:M111)</x:f>
        <x:v>3</x:v>
      </x:c>
      <x:c r="O111" s="477" t="n">
        <x:f>'Summary'!$J$21</x:f>
        <x:v>10</x:v>
      </x:c>
      <x:c r="P111" s="477" t="n">
        <x:f>'Summary'!$J$22</x:f>
        <x:v>100</x:v>
      </x:c>
      <x:c r="Q111" s="477" t="n">
        <x:f>'Summary'!$J$24</x:f>
        <x:v>2</x:v>
      </x:c>
      <x:c r="R111" s="482" t="n">
        <x:f>Q111/H111</x:f>
        <x:v>0.002</x:v>
      </x:c>
      <x:c r="S111" s="60" t="n">
        <x:f>Q111*'Summary'!$J$12</x:f>
        <x:v>0.02</x:v>
      </x:c>
    </x:row>
    <x:row r="112" ht="25" customHeight="1">
      <x:c r="C112" s="32" t="n">
        <x:v>107</x:v>
      </x:c>
      <x:c r="D112" s="32" t="n">
        <x:v>11</x:v>
      </x:c>
      <x:c r="E112" s="32" t="str">
        <x:v>Electric Cyan &amp; Turquoise</x:v>
      </x:c>
      <x:c r="F112" s="255" t="str">
        <x:v>#33CCFF</x:v>
      </x:c>
      <x:c r="G112" s="38" t="str">
        <x:v>Standard</x:v>
      </x:c>
      <x:c r="H112" s="475" t="n">
        <x:f>'Seasons'!F16</x:f>
        <x:v>1000</x:v>
      </x:c>
      <x:c r="I112" s="35" t="n">
        <x:f>'Seasons'!G16</x:f>
        <x:v>0.01</x:v>
      </x:c>
      <x:c r="J112" s="37" t="n">
        <x:f>H112*I112</x:f>
        <x:v>10</x:v>
      </x:c>
      <x:c r="K112" s="35" t="n">
        <x:f>J112*'Seasons'!H16</x:f>
        <x:v>4</x:v>
      </x:c>
      <x:c r="L112" s="35" t="n">
        <x:f>J112*'Seasons'!I16</x:f>
        <x:v>2</x:v>
      </x:c>
      <x:c r="M112" s="35" t="n">
        <x:f>J112*IF(G112="Growth",'Summary'!$J$9,IF(G112="Standard",'Summary'!$J$10,NA()))</x:f>
        <x:v>1</x:v>
      </x:c>
      <x:c r="N112" s="37" t="n">
        <x:f>J112-SUM(K112:M112)</x:f>
        <x:v>3</x:v>
      </x:c>
      <x:c r="O112" s="475" t="n">
        <x:f>'Summary'!$J$21</x:f>
        <x:v>10</x:v>
      </x:c>
      <x:c r="P112" s="475" t="n">
        <x:f>'Summary'!$J$22</x:f>
        <x:v>100</x:v>
      </x:c>
      <x:c r="Q112" s="475" t="n">
        <x:f>'Summary'!$J$24</x:f>
        <x:v>2</x:v>
      </x:c>
      <x:c r="R112" s="481" t="n">
        <x:f>Q112/H112</x:f>
        <x:v>0.002</x:v>
      </x:c>
      <x:c r="S112" s="35" t="n">
        <x:f>Q112*'Summary'!$J$12</x:f>
        <x:v>0.02</x:v>
      </x:c>
    </x:row>
    <x:row r="113" ht="25" customHeight="1">
      <x:c r="C113" s="2" t="n">
        <x:v>108</x:v>
      </x:c>
      <x:c r="D113" s="2" t="n">
        <x:v>11</x:v>
      </x:c>
      <x:c r="E113" s="2" t="str">
        <x:v>Electric Cyan &amp; Turquoise</x:v>
      </x:c>
      <x:c r="F113" s="257" t="str">
        <x:v>#33FFCC</x:v>
      </x:c>
      <x:c r="G113" s="38" t="str">
        <x:v>Standard</x:v>
      </x:c>
      <x:c r="H113" s="477" t="n">
        <x:f>'Seasons'!F16</x:f>
        <x:v>1000</x:v>
      </x:c>
      <x:c r="I113" s="60" t="n">
        <x:f>'Seasons'!G16</x:f>
        <x:v>0.01</x:v>
      </x:c>
      <x:c r="J113" s="12" t="n">
        <x:f>H113*I113</x:f>
        <x:v>10</x:v>
      </x:c>
      <x:c r="K113" s="60" t="n">
        <x:f>J113*'Seasons'!H16</x:f>
        <x:v>4</x:v>
      </x:c>
      <x:c r="L113" s="60" t="n">
        <x:f>J113*'Seasons'!I16</x:f>
        <x:v>2</x:v>
      </x:c>
      <x:c r="M113" s="60" t="n">
        <x:f>J113*IF(G113="Growth",'Summary'!$J$9,IF(G113="Standard",'Summary'!$J$10,NA()))</x:f>
        <x:v>1</x:v>
      </x:c>
      <x:c r="N113" s="12" t="n">
        <x:f>J113-SUM(K113:M113)</x:f>
        <x:v>3</x:v>
      </x:c>
      <x:c r="O113" s="477" t="n">
        <x:f>'Summary'!$J$21</x:f>
        <x:v>10</x:v>
      </x:c>
      <x:c r="P113" s="477" t="n">
        <x:f>'Summary'!$J$22</x:f>
        <x:v>100</x:v>
      </x:c>
      <x:c r="Q113" s="477" t="n">
        <x:f>'Summary'!$J$24</x:f>
        <x:v>2</x:v>
      </x:c>
      <x:c r="R113" s="482" t="n">
        <x:f>Q113/H113</x:f>
        <x:v>0.002</x:v>
      </x:c>
      <x:c r="S113" s="60" t="n">
        <x:f>Q113*'Summary'!$J$12</x:f>
        <x:v>0.02</x:v>
      </x:c>
    </x:row>
    <x:row r="114" ht="25" customHeight="1">
      <x:c r="C114" s="32" t="n">
        <x:v>109</x:v>
      </x:c>
      <x:c r="D114" s="32" t="n">
        <x:v>11</x:v>
      </x:c>
      <x:c r="E114" s="32" t="str">
        <x:v>Electric Cyan &amp; Turquoise</x:v>
      </x:c>
      <x:c r="F114" s="259" t="str">
        <x:v>#33FFFF</x:v>
      </x:c>
      <x:c r="G114" s="38" t="str">
        <x:v>Standard</x:v>
      </x:c>
      <x:c r="H114" s="475" t="n">
        <x:f>'Seasons'!F16</x:f>
        <x:v>1000</x:v>
      </x:c>
      <x:c r="I114" s="35" t="n">
        <x:f>'Seasons'!G16</x:f>
        <x:v>0.01</x:v>
      </x:c>
      <x:c r="J114" s="37" t="n">
        <x:f>H114*I114</x:f>
        <x:v>10</x:v>
      </x:c>
      <x:c r="K114" s="35" t="n">
        <x:f>J114*'Seasons'!H16</x:f>
        <x:v>4</x:v>
      </x:c>
      <x:c r="L114" s="35" t="n">
        <x:f>J114*'Seasons'!I16</x:f>
        <x:v>2</x:v>
      </x:c>
      <x:c r="M114" s="35" t="n">
        <x:f>J114*IF(G114="Growth",'Summary'!$J$9,IF(G114="Standard",'Summary'!$J$10,NA()))</x:f>
        <x:v>1</x:v>
      </x:c>
      <x:c r="N114" s="37" t="n">
        <x:f>J114-SUM(K114:M114)</x:f>
        <x:v>3</x:v>
      </x:c>
      <x:c r="O114" s="475" t="n">
        <x:f>'Summary'!$J$21</x:f>
        <x:v>10</x:v>
      </x:c>
      <x:c r="P114" s="475" t="n">
        <x:f>'Summary'!$J$22</x:f>
        <x:v>100</x:v>
      </x:c>
      <x:c r="Q114" s="475" t="n">
        <x:f>'Summary'!$J$24</x:f>
        <x:v>2</x:v>
      </x:c>
      <x:c r="R114" s="481" t="n">
        <x:f>Q114/H114</x:f>
        <x:v>0.002</x:v>
      </x:c>
      <x:c r="S114" s="35" t="n">
        <x:f>Q114*'Summary'!$J$12</x:f>
        <x:v>0.02</x:v>
      </x:c>
    </x:row>
    <x:row r="115" ht="25" customHeight="1">
      <x:c r="C115" s="2" t="n">
        <x:v>110</x:v>
      </x:c>
      <x:c r="D115" s="2" t="n">
        <x:v>11</x:v>
      </x:c>
      <x:c r="E115" s="2" t="str">
        <x:v>Electric Cyan &amp; Turquoise</x:v>
      </x:c>
      <x:c r="F115" s="261" t="str">
        <x:v>#66FFFF</x:v>
      </x:c>
      <x:c r="G115" s="38" t="str">
        <x:v>Standard</x:v>
      </x:c>
      <x:c r="H115" s="477" t="n">
        <x:f>'Seasons'!F16</x:f>
        <x:v>1000</x:v>
      </x:c>
      <x:c r="I115" s="60" t="n">
        <x:f>'Seasons'!G16</x:f>
        <x:v>0.01</x:v>
      </x:c>
      <x:c r="J115" s="12" t="n">
        <x:f>H115*I115</x:f>
        <x:v>10</x:v>
      </x:c>
      <x:c r="K115" s="60" t="n">
        <x:f>J115*'Seasons'!H16</x:f>
        <x:v>4</x:v>
      </x:c>
      <x:c r="L115" s="60" t="n">
        <x:f>J115*'Seasons'!I16</x:f>
        <x:v>2</x:v>
      </x:c>
      <x:c r="M115" s="60" t="n">
        <x:f>J115*IF(G115="Growth",'Summary'!$J$9,IF(G115="Standard",'Summary'!$J$10,NA()))</x:f>
        <x:v>1</x:v>
      </x:c>
      <x:c r="N115" s="12" t="n">
        <x:f>J115-SUM(K115:M115)</x:f>
        <x:v>3</x:v>
      </x:c>
      <x:c r="O115" s="477" t="n">
        <x:f>'Summary'!$J$21</x:f>
        <x:v>10</x:v>
      </x:c>
      <x:c r="P115" s="477" t="n">
        <x:f>'Summary'!$J$22</x:f>
        <x:v>100</x:v>
      </x:c>
      <x:c r="Q115" s="477" t="n">
        <x:f>'Summary'!$J$24</x:f>
        <x:v>2</x:v>
      </x:c>
      <x:c r="R115" s="482" t="n">
        <x:f>Q115/H115</x:f>
        <x:v>0.002</x:v>
      </x:c>
      <x:c r="S115" s="60" t="n">
        <x:f>Q115*'Summary'!$J$12</x:f>
        <x:v>0.02</x:v>
      </x:c>
    </x:row>
    <x:row r="116" ht="25" customHeight="1">
      <x:c r="C116" s="32" t="n">
        <x:v>111</x:v>
      </x:c>
      <x:c r="D116" s="32" t="n">
        <x:v>12</x:v>
      </x:c>
      <x:c r="E116" s="32" t="str">
        <x:v>Glacier &amp; Pure Aquamarine</x:v>
      </x:c>
      <x:c r="F116" s="263" t="str">
        <x:v>#66CCCC</x:v>
      </x:c>
      <x:c r="G116" s="38" t="str">
        <x:v>Growth</x:v>
      </x:c>
      <x:c r="H116" s="475" t="n">
        <x:f>'Seasons'!F17</x:f>
        <x:v>1000</x:v>
      </x:c>
      <x:c r="I116" s="35" t="n">
        <x:f>'Seasons'!G17</x:f>
        <x:v>0.01</x:v>
      </x:c>
      <x:c r="J116" s="37" t="n">
        <x:f>H116*I116</x:f>
        <x:v>10</x:v>
      </x:c>
      <x:c r="K116" s="35" t="n">
        <x:f>J116*'Seasons'!H17</x:f>
        <x:v>4</x:v>
      </x:c>
      <x:c r="L116" s="35" t="n">
        <x:f>J116*'Seasons'!I17</x:f>
        <x:v>2</x:v>
      </x:c>
      <x:c r="M116" s="35" t="n">
        <x:f>J116*IF(G116="Growth",'Summary'!$J$9,IF(G116="Standard",'Summary'!$J$10,NA()))</x:f>
        <x:v>2</x:v>
      </x:c>
      <x:c r="N116" s="37" t="n">
        <x:f>J116-SUM(K116:M116)</x:f>
        <x:v>2</x:v>
      </x:c>
      <x:c r="O116" s="475" t="n">
        <x:f>'Summary'!$J$21</x:f>
        <x:v>10</x:v>
      </x:c>
      <x:c r="P116" s="475" t="n">
        <x:f>'Summary'!$J$22</x:f>
        <x:v>100</x:v>
      </x:c>
      <x:c r="Q116" s="475" t="n">
        <x:f>'Summary'!$J$24</x:f>
        <x:v>2</x:v>
      </x:c>
      <x:c r="R116" s="481" t="n">
        <x:f>Q116/H116</x:f>
        <x:v>0.002</x:v>
      </x:c>
      <x:c r="S116" s="35" t="n">
        <x:f>Q116*'Summary'!$J$12</x:f>
        <x:v>0.02</x:v>
      </x:c>
    </x:row>
    <x:row r="117" ht="25" customHeight="1">
      <x:c r="C117" s="2" t="n">
        <x:v>112</x:v>
      </x:c>
      <x:c r="D117" s="2" t="n">
        <x:v>12</x:v>
      </x:c>
      <x:c r="E117" s="2" t="str">
        <x:v>Glacier &amp; Pure Aquamarine</x:v>
      </x:c>
      <x:c r="F117" s="265" t="str">
        <x:v>#66CCFF</x:v>
      </x:c>
      <x:c r="G117" s="38" t="str">
        <x:v>Growth</x:v>
      </x:c>
      <x:c r="H117" s="477" t="n">
        <x:f>'Seasons'!F17</x:f>
        <x:v>1000</x:v>
      </x:c>
      <x:c r="I117" s="60" t="n">
        <x:f>'Seasons'!G17</x:f>
        <x:v>0.01</x:v>
      </x:c>
      <x:c r="J117" s="12" t="n">
        <x:f>H117*I117</x:f>
        <x:v>10</x:v>
      </x:c>
      <x:c r="K117" s="60" t="n">
        <x:f>J117*'Seasons'!H17</x:f>
        <x:v>4</x:v>
      </x:c>
      <x:c r="L117" s="60" t="n">
        <x:f>J117*'Seasons'!I17</x:f>
        <x:v>2</x:v>
      </x:c>
      <x:c r="M117" s="60" t="n">
        <x:f>J117*IF(G117="Growth",'Summary'!$J$9,IF(G117="Standard",'Summary'!$J$10,NA()))</x:f>
        <x:v>2</x:v>
      </x:c>
      <x:c r="N117" s="12" t="n">
        <x:f>J117-SUM(K117:M117)</x:f>
        <x:v>2</x:v>
      </x:c>
      <x:c r="O117" s="477" t="n">
        <x:f>'Summary'!$J$21</x:f>
        <x:v>10</x:v>
      </x:c>
      <x:c r="P117" s="477" t="n">
        <x:f>'Summary'!$J$22</x:f>
        <x:v>100</x:v>
      </x:c>
      <x:c r="Q117" s="477" t="n">
        <x:f>'Summary'!$J$24</x:f>
        <x:v>2</x:v>
      </x:c>
      <x:c r="R117" s="482" t="n">
        <x:f>Q117/H117</x:f>
        <x:v>0.002</x:v>
      </x:c>
      <x:c r="S117" s="60" t="n">
        <x:f>Q117*'Summary'!$J$12</x:f>
        <x:v>0.02</x:v>
      </x:c>
    </x:row>
    <x:row r="118" ht="25" customHeight="1">
      <x:c r="C118" s="32" t="n">
        <x:v>113</x:v>
      </x:c>
      <x:c r="D118" s="32" t="n">
        <x:v>12</x:v>
      </x:c>
      <x:c r="E118" s="32" t="str">
        <x:v>Glacier &amp; Pure Aquamarine</x:v>
      </x:c>
      <x:c r="F118" s="267" t="str">
        <x:v>#66FFCC</x:v>
      </x:c>
      <x:c r="G118" s="38" t="str">
        <x:v>Standard</x:v>
      </x:c>
      <x:c r="H118" s="475" t="n">
        <x:f>'Seasons'!F17</x:f>
        <x:v>1000</x:v>
      </x:c>
      <x:c r="I118" s="35" t="n">
        <x:f>'Seasons'!G17</x:f>
        <x:v>0.01</x:v>
      </x:c>
      <x:c r="J118" s="37" t="n">
        <x:f>H118*I118</x:f>
        <x:v>10</x:v>
      </x:c>
      <x:c r="K118" s="35" t="n">
        <x:f>J118*'Seasons'!H17</x:f>
        <x:v>4</x:v>
      </x:c>
      <x:c r="L118" s="35" t="n">
        <x:f>J118*'Seasons'!I17</x:f>
        <x:v>2</x:v>
      </x:c>
      <x:c r="M118" s="35" t="n">
        <x:f>J118*IF(G118="Growth",'Summary'!$J$9,IF(G118="Standard",'Summary'!$J$10,NA()))</x:f>
        <x:v>1</x:v>
      </x:c>
      <x:c r="N118" s="37" t="n">
        <x:f>J118-SUM(K118:M118)</x:f>
        <x:v>3</x:v>
      </x:c>
      <x:c r="O118" s="475" t="n">
        <x:f>'Summary'!$J$21</x:f>
        <x:v>10</x:v>
      </x:c>
      <x:c r="P118" s="475" t="n">
        <x:f>'Summary'!$J$22</x:f>
        <x:v>100</x:v>
      </x:c>
      <x:c r="Q118" s="475" t="n">
        <x:f>'Summary'!$J$24</x:f>
        <x:v>2</x:v>
      </x:c>
      <x:c r="R118" s="481" t="n">
        <x:f>Q118/H118</x:f>
        <x:v>0.002</x:v>
      </x:c>
      <x:c r="S118" s="35" t="n">
        <x:f>Q118*'Summary'!$J$12</x:f>
        <x:v>0.02</x:v>
      </x:c>
    </x:row>
    <x:row r="119" ht="25" customHeight="1">
      <x:c r="C119" s="2" t="n">
        <x:v>114</x:v>
      </x:c>
      <x:c r="D119" s="2" t="n">
        <x:v>12</x:v>
      </x:c>
      <x:c r="E119" s="2" t="str">
        <x:v>Glacier &amp; Pure Aquamarine</x:v>
      </x:c>
      <x:c r="F119" s="269" t="str">
        <x:v>#99CCCC</x:v>
      </x:c>
      <x:c r="G119" s="38" t="str">
        <x:v>Standard</x:v>
      </x:c>
      <x:c r="H119" s="477" t="n">
        <x:f>'Seasons'!F17</x:f>
        <x:v>1000</x:v>
      </x:c>
      <x:c r="I119" s="60" t="n">
        <x:f>'Seasons'!G17</x:f>
        <x:v>0.01</x:v>
      </x:c>
      <x:c r="J119" s="12" t="n">
        <x:f>H119*I119</x:f>
        <x:v>10</x:v>
      </x:c>
      <x:c r="K119" s="60" t="n">
        <x:f>J119*'Seasons'!H17</x:f>
        <x:v>4</x:v>
      </x:c>
      <x:c r="L119" s="60" t="n">
        <x:f>J119*'Seasons'!I17</x:f>
        <x:v>2</x:v>
      </x:c>
      <x:c r="M119" s="60" t="n">
        <x:f>J119*IF(G119="Growth",'Summary'!$J$9,IF(G119="Standard",'Summary'!$J$10,NA()))</x:f>
        <x:v>1</x:v>
      </x:c>
      <x:c r="N119" s="12" t="n">
        <x:f>J119-SUM(K119:M119)</x:f>
        <x:v>3</x:v>
      </x:c>
      <x:c r="O119" s="477" t="n">
        <x:f>'Summary'!$J$21</x:f>
        <x:v>10</x:v>
      </x:c>
      <x:c r="P119" s="477" t="n">
        <x:f>'Summary'!$J$22</x:f>
        <x:v>100</x:v>
      </x:c>
      <x:c r="Q119" s="477" t="n">
        <x:f>'Summary'!$J$24</x:f>
        <x:v>2</x:v>
      </x:c>
      <x:c r="R119" s="482" t="n">
        <x:f>Q119/H119</x:f>
        <x:v>0.002</x:v>
      </x:c>
      <x:c r="S119" s="60" t="n">
        <x:f>Q119*'Summary'!$J$12</x:f>
        <x:v>0.02</x:v>
      </x:c>
    </x:row>
    <x:row r="120" ht="25" customHeight="1">
      <x:c r="C120" s="32" t="n">
        <x:v>115</x:v>
      </x:c>
      <x:c r="D120" s="32" t="n">
        <x:v>12</x:v>
      </x:c>
      <x:c r="E120" s="32" t="str">
        <x:v>Glacier &amp; Pure Aquamarine</x:v>
      </x:c>
      <x:c r="F120" s="271" t="str">
        <x:v>#99CCFF</x:v>
      </x:c>
      <x:c r="G120" s="38" t="str">
        <x:v>Standard</x:v>
      </x:c>
      <x:c r="H120" s="475" t="n">
        <x:f>'Seasons'!F17</x:f>
        <x:v>1000</x:v>
      </x:c>
      <x:c r="I120" s="35" t="n">
        <x:f>'Seasons'!G17</x:f>
        <x:v>0.01</x:v>
      </x:c>
      <x:c r="J120" s="37" t="n">
        <x:f>H120*I120</x:f>
        <x:v>10</x:v>
      </x:c>
      <x:c r="K120" s="35" t="n">
        <x:f>J120*'Seasons'!H17</x:f>
        <x:v>4</x:v>
      </x:c>
      <x:c r="L120" s="35" t="n">
        <x:f>J120*'Seasons'!I17</x:f>
        <x:v>2</x:v>
      </x:c>
      <x:c r="M120" s="35" t="n">
        <x:f>J120*IF(G120="Growth",'Summary'!$J$9,IF(G120="Standard",'Summary'!$J$10,NA()))</x:f>
        <x:v>1</x:v>
      </x:c>
      <x:c r="N120" s="37" t="n">
        <x:f>J120-SUM(K120:M120)</x:f>
        <x:v>3</x:v>
      </x:c>
      <x:c r="O120" s="475" t="n">
        <x:f>'Summary'!$J$21</x:f>
        <x:v>10</x:v>
      </x:c>
      <x:c r="P120" s="475" t="n">
        <x:f>'Summary'!$J$22</x:f>
        <x:v>100</x:v>
      </x:c>
      <x:c r="Q120" s="475" t="n">
        <x:f>'Summary'!$J$24</x:f>
        <x:v>2</x:v>
      </x:c>
      <x:c r="R120" s="481" t="n">
        <x:f>Q120/H120</x:f>
        <x:v>0.002</x:v>
      </x:c>
      <x:c r="S120" s="35" t="n">
        <x:f>Q120*'Summary'!$J$12</x:f>
        <x:v>0.02</x:v>
      </x:c>
    </x:row>
    <x:row r="121" ht="25" customHeight="1">
      <x:c r="C121" s="2" t="n">
        <x:v>116</x:v>
      </x:c>
      <x:c r="D121" s="2" t="n">
        <x:v>12</x:v>
      </x:c>
      <x:c r="E121" s="2" t="str">
        <x:v>Glacier &amp; Pure Aquamarine</x:v>
      </x:c>
      <x:c r="F121" s="273" t="str">
        <x:v>#99FFCC</x:v>
      </x:c>
      <x:c r="G121" s="38" t="str">
        <x:v>Standard</x:v>
      </x:c>
      <x:c r="H121" s="477" t="n">
        <x:f>'Seasons'!F17</x:f>
        <x:v>1000</x:v>
      </x:c>
      <x:c r="I121" s="60" t="n">
        <x:f>'Seasons'!G17</x:f>
        <x:v>0.01</x:v>
      </x:c>
      <x:c r="J121" s="12" t="n">
        <x:f>H121*I121</x:f>
        <x:v>10</x:v>
      </x:c>
      <x:c r="K121" s="60" t="n">
        <x:f>J121*'Seasons'!H17</x:f>
        <x:v>4</x:v>
      </x:c>
      <x:c r="L121" s="60" t="n">
        <x:f>J121*'Seasons'!I17</x:f>
        <x:v>2</x:v>
      </x:c>
      <x:c r="M121" s="60" t="n">
        <x:f>J121*IF(G121="Growth",'Summary'!$J$9,IF(G121="Standard",'Summary'!$J$10,NA()))</x:f>
        <x:v>1</x:v>
      </x:c>
      <x:c r="N121" s="12" t="n">
        <x:f>J121-SUM(K121:M121)</x:f>
        <x:v>3</x:v>
      </x:c>
      <x:c r="O121" s="477" t="n">
        <x:f>'Summary'!$J$21</x:f>
        <x:v>10</x:v>
      </x:c>
      <x:c r="P121" s="477" t="n">
        <x:f>'Summary'!$J$22</x:f>
        <x:v>100</x:v>
      </x:c>
      <x:c r="Q121" s="477" t="n">
        <x:f>'Summary'!$J$24</x:f>
        <x:v>2</x:v>
      </x:c>
      <x:c r="R121" s="482" t="n">
        <x:f>Q121/H121</x:f>
        <x:v>0.002</x:v>
      </x:c>
      <x:c r="S121" s="60" t="n">
        <x:f>Q121*'Summary'!$J$12</x:f>
        <x:v>0.02</x:v>
      </x:c>
    </x:row>
    <x:row r="122" ht="25" customHeight="1">
      <x:c r="C122" s="32" t="n">
        <x:v>117</x:v>
      </x:c>
      <x:c r="D122" s="32" t="n">
        <x:v>12</x:v>
      </x:c>
      <x:c r="E122" s="32" t="str">
        <x:v>Glacier &amp; Pure Aquamarine</x:v>
      </x:c>
      <x:c r="F122" s="275" t="str">
        <x:v>#99FFFF</x:v>
      </x:c>
      <x:c r="G122" s="38" t="str">
        <x:v>Standard</x:v>
      </x:c>
      <x:c r="H122" s="475" t="n">
        <x:f>'Seasons'!F17</x:f>
        <x:v>1000</x:v>
      </x:c>
      <x:c r="I122" s="35" t="n">
        <x:f>'Seasons'!G17</x:f>
        <x:v>0.01</x:v>
      </x:c>
      <x:c r="J122" s="37" t="n">
        <x:f>H122*I122</x:f>
        <x:v>10</x:v>
      </x:c>
      <x:c r="K122" s="35" t="n">
        <x:f>J122*'Seasons'!H17</x:f>
        <x:v>4</x:v>
      </x:c>
      <x:c r="L122" s="35" t="n">
        <x:f>J122*'Seasons'!I17</x:f>
        <x:v>2</x:v>
      </x:c>
      <x:c r="M122" s="35" t="n">
        <x:f>J122*IF(G122="Growth",'Summary'!$J$9,IF(G122="Standard",'Summary'!$J$10,NA()))</x:f>
        <x:v>1</x:v>
      </x:c>
      <x:c r="N122" s="37" t="n">
        <x:f>J122-SUM(K122:M122)</x:f>
        <x:v>3</x:v>
      </x:c>
      <x:c r="O122" s="475" t="n">
        <x:f>'Summary'!$J$21</x:f>
        <x:v>10</x:v>
      </x:c>
      <x:c r="P122" s="475" t="n">
        <x:f>'Summary'!$J$22</x:f>
        <x:v>100</x:v>
      </x:c>
      <x:c r="Q122" s="475" t="n">
        <x:f>'Summary'!$J$24</x:f>
        <x:v>2</x:v>
      </x:c>
      <x:c r="R122" s="481" t="n">
        <x:f>Q122/H122</x:f>
        <x:v>0.002</x:v>
      </x:c>
      <x:c r="S122" s="35" t="n">
        <x:f>Q122*'Summary'!$J$12</x:f>
        <x:v>0.02</x:v>
      </x:c>
    </x:row>
    <x:row r="123" ht="25" customHeight="1">
      <x:c r="C123" s="2" t="n">
        <x:v>118</x:v>
      </x:c>
      <x:c r="D123" s="2" t="n">
        <x:v>12</x:v>
      </x:c>
      <x:c r="E123" s="2" t="str">
        <x:v>Glacier &amp; Pure Aquamarine</x:v>
      </x:c>
      <x:c r="F123" s="277" t="str">
        <x:v>#CCFFFF</x:v>
      </x:c>
      <x:c r="G123" s="38" t="str">
        <x:v>Standard</x:v>
      </x:c>
      <x:c r="H123" s="477" t="n">
        <x:f>'Seasons'!F17</x:f>
        <x:v>1000</x:v>
      </x:c>
      <x:c r="I123" s="60" t="n">
        <x:f>'Seasons'!G17</x:f>
        <x:v>0.01</x:v>
      </x:c>
      <x:c r="J123" s="12" t="n">
        <x:f>H123*I123</x:f>
        <x:v>10</x:v>
      </x:c>
      <x:c r="K123" s="60" t="n">
        <x:f>J123*'Seasons'!H17</x:f>
        <x:v>4</x:v>
      </x:c>
      <x:c r="L123" s="60" t="n">
        <x:f>J123*'Seasons'!I17</x:f>
        <x:v>2</x:v>
      </x:c>
      <x:c r="M123" s="60" t="n">
        <x:f>J123*IF(G123="Growth",'Summary'!$J$9,IF(G123="Standard",'Summary'!$J$10,NA()))</x:f>
        <x:v>1</x:v>
      </x:c>
      <x:c r="N123" s="12" t="n">
        <x:f>J123-SUM(K123:M123)</x:f>
        <x:v>3</x:v>
      </x:c>
      <x:c r="O123" s="477" t="n">
        <x:f>'Summary'!$J$21</x:f>
        <x:v>10</x:v>
      </x:c>
      <x:c r="P123" s="477" t="n">
        <x:f>'Summary'!$J$22</x:f>
        <x:v>100</x:v>
      </x:c>
      <x:c r="Q123" s="477" t="n">
        <x:f>'Summary'!$J$24</x:f>
        <x:v>2</x:v>
      </x:c>
      <x:c r="R123" s="482" t="n">
        <x:f>Q123/H123</x:f>
        <x:v>0.002</x:v>
      </x:c>
      <x:c r="S123" s="60" t="n">
        <x:f>Q123*'Summary'!$J$12</x:f>
        <x:v>0.02</x:v>
      </x:c>
    </x:row>
    <x:row r="124" ht="25" customHeight="1">
      <x:c r="C124" s="32" t="n">
        <x:v>119</x:v>
      </x:c>
      <x:c r="D124" s="32" t="n">
        <x:v>12</x:v>
      </x:c>
      <x:c r="E124" s="32" t="str">
        <x:v>Glacier &amp; Pure Aquamarine</x:v>
      </x:c>
      <x:c r="F124" s="279" t="str">
        <x:v>#3399CC</x:v>
      </x:c>
      <x:c r="G124" s="38" t="str">
        <x:v>Standard</x:v>
      </x:c>
      <x:c r="H124" s="475" t="n">
        <x:f>'Seasons'!F17</x:f>
        <x:v>1000</x:v>
      </x:c>
      <x:c r="I124" s="35" t="n">
        <x:f>'Seasons'!G17</x:f>
        <x:v>0.01</x:v>
      </x:c>
      <x:c r="J124" s="37" t="n">
        <x:f>H124*I124</x:f>
        <x:v>10</x:v>
      </x:c>
      <x:c r="K124" s="35" t="n">
        <x:f>J124*'Seasons'!H17</x:f>
        <x:v>4</x:v>
      </x:c>
      <x:c r="L124" s="35" t="n">
        <x:f>J124*'Seasons'!I17</x:f>
        <x:v>2</x:v>
      </x:c>
      <x:c r="M124" s="35" t="n">
        <x:f>J124*IF(G124="Growth",'Summary'!$J$9,IF(G124="Standard",'Summary'!$J$10,NA()))</x:f>
        <x:v>1</x:v>
      </x:c>
      <x:c r="N124" s="37" t="n">
        <x:f>J124-SUM(K124:M124)</x:f>
        <x:v>3</x:v>
      </x:c>
      <x:c r="O124" s="475" t="n">
        <x:f>'Summary'!$J$21</x:f>
        <x:v>10</x:v>
      </x:c>
      <x:c r="P124" s="475" t="n">
        <x:f>'Summary'!$J$22</x:f>
        <x:v>100</x:v>
      </x:c>
      <x:c r="Q124" s="475" t="n">
        <x:f>'Summary'!$J$24</x:f>
        <x:v>2</x:v>
      </x:c>
      <x:c r="R124" s="481" t="n">
        <x:f>Q124/H124</x:f>
        <x:v>0.002</x:v>
      </x:c>
      <x:c r="S124" s="35" t="n">
        <x:f>Q124*'Summary'!$J$12</x:f>
        <x:v>0.02</x:v>
      </x:c>
    </x:row>
    <x:row r="125" ht="25" customHeight="1">
      <x:c r="C125" s="2" t="n">
        <x:v>120</x:v>
      </x:c>
      <x:c r="D125" s="2" t="n">
        <x:v>12</x:v>
      </x:c>
      <x:c r="E125" s="2" t="str">
        <x:v>Glacier &amp; Pure Aquamarine</x:v>
      </x:c>
      <x:c r="F125" s="281" t="str">
        <x:v>#336699</x:v>
      </x:c>
      <x:c r="G125" s="38" t="str">
        <x:v>Standard</x:v>
      </x:c>
      <x:c r="H125" s="477" t="n">
        <x:f>'Seasons'!F17</x:f>
        <x:v>1000</x:v>
      </x:c>
      <x:c r="I125" s="60" t="n">
        <x:f>'Seasons'!G17</x:f>
        <x:v>0.01</x:v>
      </x:c>
      <x:c r="J125" s="12" t="n">
        <x:f>H125*I125</x:f>
        <x:v>10</x:v>
      </x:c>
      <x:c r="K125" s="60" t="n">
        <x:f>J125*'Seasons'!H17</x:f>
        <x:v>4</x:v>
      </x:c>
      <x:c r="L125" s="60" t="n">
        <x:f>J125*'Seasons'!I17</x:f>
        <x:v>2</x:v>
      </x:c>
      <x:c r="M125" s="60" t="n">
        <x:f>J125*IF(G125="Growth",'Summary'!$J$9,IF(G125="Standard",'Summary'!$J$10,NA()))</x:f>
        <x:v>1</x:v>
      </x:c>
      <x:c r="N125" s="12" t="n">
        <x:f>J125-SUM(K125:M125)</x:f>
        <x:v>3</x:v>
      </x:c>
      <x:c r="O125" s="477" t="n">
        <x:f>'Summary'!$J$21</x:f>
        <x:v>10</x:v>
      </x:c>
      <x:c r="P125" s="477" t="n">
        <x:f>'Summary'!$J$22</x:f>
        <x:v>100</x:v>
      </x:c>
      <x:c r="Q125" s="477" t="n">
        <x:f>'Summary'!$J$24</x:f>
        <x:v>2</x:v>
      </x:c>
      <x:c r="R125" s="482" t="n">
        <x:f>Q125/H125</x:f>
        <x:v>0.002</x:v>
      </x:c>
      <x:c r="S125" s="60" t="n">
        <x:f>Q125*'Summary'!$J$12</x:f>
        <x:v>0.02</x:v>
      </x:c>
    </x:row>
    <x:row r="126" ht="25" customHeight="1">
      <x:c r="C126" s="32" t="n">
        <x:v>121</x:v>
      </x:c>
      <x:c r="D126" s="32" t="n">
        <x:v>13</x:v>
      </x:c>
      <x:c r="E126" s="32" t="str">
        <x:v>Cerulean &amp; Sky Blue</x:v>
      </x:c>
      <x:c r="F126" s="283" t="str">
        <x:v>#0066CC</x:v>
      </x:c>
      <x:c r="G126" s="38" t="str">
        <x:v>Growth</x:v>
      </x:c>
      <x:c r="H126" s="475" t="n">
        <x:f>'Seasons'!F18</x:f>
        <x:v>1000</x:v>
      </x:c>
      <x:c r="I126" s="35" t="n">
        <x:f>'Seasons'!G18</x:f>
        <x:v>0.01</x:v>
      </x:c>
      <x:c r="J126" s="37" t="n">
        <x:f>H126*I126</x:f>
        <x:v>10</x:v>
      </x:c>
      <x:c r="K126" s="35" t="n">
        <x:f>J126*'Seasons'!H18</x:f>
        <x:v>4</x:v>
      </x:c>
      <x:c r="L126" s="35" t="n">
        <x:f>J126*'Seasons'!I18</x:f>
        <x:v>2</x:v>
      </x:c>
      <x:c r="M126" s="35" t="n">
        <x:f>J126*IF(G126="Growth",'Summary'!$J$9,IF(G126="Standard",'Summary'!$J$10,NA()))</x:f>
        <x:v>2</x:v>
      </x:c>
      <x:c r="N126" s="37" t="n">
        <x:f>J126-SUM(K126:M126)</x:f>
        <x:v>2</x:v>
      </x:c>
      <x:c r="O126" s="475" t="n">
        <x:f>'Summary'!$J$21</x:f>
        <x:v>10</x:v>
      </x:c>
      <x:c r="P126" s="475" t="n">
        <x:f>'Summary'!$J$22</x:f>
        <x:v>100</x:v>
      </x:c>
      <x:c r="Q126" s="475" t="n">
        <x:f>'Summary'!$J$24</x:f>
        <x:v>2</x:v>
      </x:c>
      <x:c r="R126" s="481" t="n">
        <x:f>Q126/H126</x:f>
        <x:v>0.002</x:v>
      </x:c>
      <x:c r="S126" s="35" t="n">
        <x:f>Q126*'Summary'!$J$12</x:f>
        <x:v>0.02</x:v>
      </x:c>
    </x:row>
    <x:row r="127" ht="25" customHeight="1">
      <x:c r="C127" s="2" t="n">
        <x:v>122</x:v>
      </x:c>
      <x:c r="D127" s="2" t="n">
        <x:v>13</x:v>
      </x:c>
      <x:c r="E127" s="2" t="str">
        <x:v>Cerulean &amp; Sky Blue</x:v>
      </x:c>
      <x:c r="F127" s="285" t="str">
        <x:v>#0066FF</x:v>
      </x:c>
      <x:c r="G127" s="38" t="str">
        <x:v>Growth</x:v>
      </x:c>
      <x:c r="H127" s="477" t="n">
        <x:f>'Seasons'!F18</x:f>
        <x:v>1000</x:v>
      </x:c>
      <x:c r="I127" s="60" t="n">
        <x:f>'Seasons'!G18</x:f>
        <x:v>0.01</x:v>
      </x:c>
      <x:c r="J127" s="12" t="n">
        <x:f>H127*I127</x:f>
        <x:v>10</x:v>
      </x:c>
      <x:c r="K127" s="60" t="n">
        <x:f>J127*'Seasons'!H18</x:f>
        <x:v>4</x:v>
      </x:c>
      <x:c r="L127" s="60" t="n">
        <x:f>J127*'Seasons'!I18</x:f>
        <x:v>2</x:v>
      </x:c>
      <x:c r="M127" s="60" t="n">
        <x:f>J127*IF(G127="Growth",'Summary'!$J$9,IF(G127="Standard",'Summary'!$J$10,NA()))</x:f>
        <x:v>2</x:v>
      </x:c>
      <x:c r="N127" s="12" t="n">
        <x:f>J127-SUM(K127:M127)</x:f>
        <x:v>2</x:v>
      </x:c>
      <x:c r="O127" s="477" t="n">
        <x:f>'Summary'!$J$21</x:f>
        <x:v>10</x:v>
      </x:c>
      <x:c r="P127" s="477" t="n">
        <x:f>'Summary'!$J$22</x:f>
        <x:v>100</x:v>
      </x:c>
      <x:c r="Q127" s="477" t="n">
        <x:f>'Summary'!$J$24</x:f>
        <x:v>2</x:v>
      </x:c>
      <x:c r="R127" s="482" t="n">
        <x:f>Q127/H127</x:f>
        <x:v>0.002</x:v>
      </x:c>
      <x:c r="S127" s="60" t="n">
        <x:f>Q127*'Summary'!$J$12</x:f>
        <x:v>0.02</x:v>
      </x:c>
    </x:row>
    <x:row r="128" ht="25" customHeight="1">
      <x:c r="C128" s="32" t="n">
        <x:v>123</x:v>
      </x:c>
      <x:c r="D128" s="32" t="n">
        <x:v>13</x:v>
      </x:c>
      <x:c r="E128" s="32" t="str">
        <x:v>Cerulean &amp; Sky Blue</x:v>
      </x:c>
      <x:c r="F128" s="287" t="str">
        <x:v>#0099CC</x:v>
      </x:c>
      <x:c r="G128" s="38" t="str">
        <x:v>Standard</x:v>
      </x:c>
      <x:c r="H128" s="475" t="n">
        <x:f>'Seasons'!F18</x:f>
        <x:v>1000</x:v>
      </x:c>
      <x:c r="I128" s="35" t="n">
        <x:f>'Seasons'!G18</x:f>
        <x:v>0.01</x:v>
      </x:c>
      <x:c r="J128" s="37" t="n">
        <x:f>H128*I128</x:f>
        <x:v>10</x:v>
      </x:c>
      <x:c r="K128" s="35" t="n">
        <x:f>J128*'Seasons'!H18</x:f>
        <x:v>4</x:v>
      </x:c>
      <x:c r="L128" s="35" t="n">
        <x:f>J128*'Seasons'!I18</x:f>
        <x:v>2</x:v>
      </x:c>
      <x:c r="M128" s="35" t="n">
        <x:f>J128*IF(G128="Growth",'Summary'!$J$9,IF(G128="Standard",'Summary'!$J$10,NA()))</x:f>
        <x:v>1</x:v>
      </x:c>
      <x:c r="N128" s="37" t="n">
        <x:f>J128-SUM(K128:M128)</x:f>
        <x:v>3</x:v>
      </x:c>
      <x:c r="O128" s="475" t="n">
        <x:f>'Summary'!$J$21</x:f>
        <x:v>10</x:v>
      </x:c>
      <x:c r="P128" s="475" t="n">
        <x:f>'Summary'!$J$22</x:f>
        <x:v>100</x:v>
      </x:c>
      <x:c r="Q128" s="475" t="n">
        <x:f>'Summary'!$J$24</x:f>
        <x:v>2</x:v>
      </x:c>
      <x:c r="R128" s="481" t="n">
        <x:f>Q128/H128</x:f>
        <x:v>0.002</x:v>
      </x:c>
      <x:c r="S128" s="35" t="n">
        <x:f>Q128*'Summary'!$J$12</x:f>
        <x:v>0.02</x:v>
      </x:c>
    </x:row>
    <x:row r="129" ht="25" customHeight="1">
      <x:c r="C129" s="2" t="n">
        <x:v>124</x:v>
      </x:c>
      <x:c r="D129" s="2" t="n">
        <x:v>13</x:v>
      </x:c>
      <x:c r="E129" s="2" t="str">
        <x:v>Cerulean &amp; Sky Blue</x:v>
      </x:c>
      <x:c r="F129" s="289" t="str">
        <x:v>#0099FF</x:v>
      </x:c>
      <x:c r="G129" s="38" t="str">
        <x:v>Standard</x:v>
      </x:c>
      <x:c r="H129" s="477" t="n">
        <x:f>'Seasons'!F18</x:f>
        <x:v>1000</x:v>
      </x:c>
      <x:c r="I129" s="60" t="n">
        <x:f>'Seasons'!G18</x:f>
        <x:v>0.01</x:v>
      </x:c>
      <x:c r="J129" s="12" t="n">
        <x:f>H129*I129</x:f>
        <x:v>10</x:v>
      </x:c>
      <x:c r="K129" s="60" t="n">
        <x:f>J129*'Seasons'!H18</x:f>
        <x:v>4</x:v>
      </x:c>
      <x:c r="L129" s="60" t="n">
        <x:f>J129*'Seasons'!I18</x:f>
        <x:v>2</x:v>
      </x:c>
      <x:c r="M129" s="60" t="n">
        <x:f>J129*IF(G129="Growth",'Summary'!$J$9,IF(G129="Standard",'Summary'!$J$10,NA()))</x:f>
        <x:v>1</x:v>
      </x:c>
      <x:c r="N129" s="12" t="n">
        <x:f>J129-SUM(K129:M129)</x:f>
        <x:v>3</x:v>
      </x:c>
      <x:c r="O129" s="477" t="n">
        <x:f>'Summary'!$J$21</x:f>
        <x:v>10</x:v>
      </x:c>
      <x:c r="P129" s="477" t="n">
        <x:f>'Summary'!$J$22</x:f>
        <x:v>100</x:v>
      </x:c>
      <x:c r="Q129" s="477" t="n">
        <x:f>'Summary'!$J$24</x:f>
        <x:v>2</x:v>
      </x:c>
      <x:c r="R129" s="482" t="n">
        <x:f>Q129/H129</x:f>
        <x:v>0.002</x:v>
      </x:c>
      <x:c r="S129" s="60" t="n">
        <x:f>Q129*'Summary'!$J$12</x:f>
        <x:v>0.02</x:v>
      </x:c>
    </x:row>
    <x:row r="130" ht="25" customHeight="1">
      <x:c r="C130" s="32" t="n">
        <x:v>125</x:v>
      </x:c>
      <x:c r="D130" s="32" t="n">
        <x:v>13</x:v>
      </x:c>
      <x:c r="E130" s="32" t="str">
        <x:v>Cerulean &amp; Sky Blue</x:v>
      </x:c>
      <x:c r="F130" s="291" t="str">
        <x:v>#3366CC</x:v>
      </x:c>
      <x:c r="G130" s="38" t="str">
        <x:v>Standard</x:v>
      </x:c>
      <x:c r="H130" s="475" t="n">
        <x:f>'Seasons'!F18</x:f>
        <x:v>1000</x:v>
      </x:c>
      <x:c r="I130" s="35" t="n">
        <x:f>'Seasons'!G18</x:f>
        <x:v>0.01</x:v>
      </x:c>
      <x:c r="J130" s="37" t="n">
        <x:f>H130*I130</x:f>
        <x:v>10</x:v>
      </x:c>
      <x:c r="K130" s="35" t="n">
        <x:f>J130*'Seasons'!H18</x:f>
        <x:v>4</x:v>
      </x:c>
      <x:c r="L130" s="35" t="n">
        <x:f>J130*'Seasons'!I18</x:f>
        <x:v>2</x:v>
      </x:c>
      <x:c r="M130" s="35" t="n">
        <x:f>J130*IF(G130="Growth",'Summary'!$J$9,IF(G130="Standard",'Summary'!$J$10,NA()))</x:f>
        <x:v>1</x:v>
      </x:c>
      <x:c r="N130" s="37" t="n">
        <x:f>J130-SUM(K130:M130)</x:f>
        <x:v>3</x:v>
      </x:c>
      <x:c r="O130" s="475" t="n">
        <x:f>'Summary'!$J$21</x:f>
        <x:v>10</x:v>
      </x:c>
      <x:c r="P130" s="475" t="n">
        <x:f>'Summary'!$J$22</x:f>
        <x:v>100</x:v>
      </x:c>
      <x:c r="Q130" s="475" t="n">
        <x:f>'Summary'!$J$24</x:f>
        <x:v>2</x:v>
      </x:c>
      <x:c r="R130" s="481" t="n">
        <x:f>Q130/H130</x:f>
        <x:v>0.002</x:v>
      </x:c>
      <x:c r="S130" s="35" t="n">
        <x:f>Q130*'Summary'!$J$12</x:f>
        <x:v>0.02</x:v>
      </x:c>
    </x:row>
    <x:row r="131" ht="25" customHeight="1">
      <x:c r="C131" s="2" t="n">
        <x:v>126</x:v>
      </x:c>
      <x:c r="D131" s="2" t="n">
        <x:v>13</x:v>
      </x:c>
      <x:c r="E131" s="2" t="str">
        <x:v>Cerulean &amp; Sky Blue</x:v>
      </x:c>
      <x:c r="F131" s="293" t="str">
        <x:v>#3366FF</x:v>
      </x:c>
      <x:c r="G131" s="38" t="str">
        <x:v>Standard</x:v>
      </x:c>
      <x:c r="H131" s="477" t="n">
        <x:f>'Seasons'!F18</x:f>
        <x:v>1000</x:v>
      </x:c>
      <x:c r="I131" s="60" t="n">
        <x:f>'Seasons'!G18</x:f>
        <x:v>0.01</x:v>
      </x:c>
      <x:c r="J131" s="12" t="n">
        <x:f>H131*I131</x:f>
        <x:v>10</x:v>
      </x:c>
      <x:c r="K131" s="60" t="n">
        <x:f>J131*'Seasons'!H18</x:f>
        <x:v>4</x:v>
      </x:c>
      <x:c r="L131" s="60" t="n">
        <x:f>J131*'Seasons'!I18</x:f>
        <x:v>2</x:v>
      </x:c>
      <x:c r="M131" s="60" t="n">
        <x:f>J131*IF(G131="Growth",'Summary'!$J$9,IF(G131="Standard",'Summary'!$J$10,NA()))</x:f>
        <x:v>1</x:v>
      </x:c>
      <x:c r="N131" s="12" t="n">
        <x:f>J131-SUM(K131:M131)</x:f>
        <x:v>3</x:v>
      </x:c>
      <x:c r="O131" s="477" t="n">
        <x:f>'Summary'!$J$21</x:f>
        <x:v>10</x:v>
      </x:c>
      <x:c r="P131" s="477" t="n">
        <x:f>'Summary'!$J$22</x:f>
        <x:v>100</x:v>
      </x:c>
      <x:c r="Q131" s="477" t="n">
        <x:f>'Summary'!$J$24</x:f>
        <x:v>2</x:v>
      </x:c>
      <x:c r="R131" s="482" t="n">
        <x:f>Q131/H131</x:f>
        <x:v>0.002</x:v>
      </x:c>
      <x:c r="S131" s="60" t="n">
        <x:f>Q131*'Summary'!$J$12</x:f>
        <x:v>0.02</x:v>
      </x:c>
    </x:row>
    <x:row r="132" ht="25" customHeight="1">
      <x:c r="C132" s="32" t="n">
        <x:v>127</x:v>
      </x:c>
      <x:c r="D132" s="32" t="n">
        <x:v>13</x:v>
      </x:c>
      <x:c r="E132" s="32" t="str">
        <x:v>Cerulean &amp; Sky Blue</x:v>
      </x:c>
      <x:c r="F132" s="295" t="str">
        <x:v>#3399FF</x:v>
      </x:c>
      <x:c r="G132" s="38" t="str">
        <x:v>Standard</x:v>
      </x:c>
      <x:c r="H132" s="475" t="n">
        <x:f>'Seasons'!F18</x:f>
        <x:v>1000</x:v>
      </x:c>
      <x:c r="I132" s="35" t="n">
        <x:f>'Seasons'!G18</x:f>
        <x:v>0.01</x:v>
      </x:c>
      <x:c r="J132" s="37" t="n">
        <x:f>H132*I132</x:f>
        <x:v>10</x:v>
      </x:c>
      <x:c r="K132" s="35" t="n">
        <x:f>J132*'Seasons'!H18</x:f>
        <x:v>4</x:v>
      </x:c>
      <x:c r="L132" s="35" t="n">
        <x:f>J132*'Seasons'!I18</x:f>
        <x:v>2</x:v>
      </x:c>
      <x:c r="M132" s="35" t="n">
        <x:f>J132*IF(G132="Growth",'Summary'!$J$9,IF(G132="Standard",'Summary'!$J$10,NA()))</x:f>
        <x:v>1</x:v>
      </x:c>
      <x:c r="N132" s="37" t="n">
        <x:f>J132-SUM(K132:M132)</x:f>
        <x:v>3</x:v>
      </x:c>
      <x:c r="O132" s="475" t="n">
        <x:f>'Summary'!$J$21</x:f>
        <x:v>10</x:v>
      </x:c>
      <x:c r="P132" s="475" t="n">
        <x:f>'Summary'!$J$22</x:f>
        <x:v>100</x:v>
      </x:c>
      <x:c r="Q132" s="475" t="n">
        <x:f>'Summary'!$J$24</x:f>
        <x:v>2</x:v>
      </x:c>
      <x:c r="R132" s="481" t="n">
        <x:f>Q132/H132</x:f>
        <x:v>0.002</x:v>
      </x:c>
      <x:c r="S132" s="35" t="n">
        <x:f>Q132*'Summary'!$J$12</x:f>
        <x:v>0.02</x:v>
      </x:c>
    </x:row>
    <x:row r="133" ht="25" customHeight="1">
      <x:c r="C133" s="2" t="n">
        <x:v>128</x:v>
      </x:c>
      <x:c r="D133" s="2" t="n">
        <x:v>13</x:v>
      </x:c>
      <x:c r="E133" s="2" t="str">
        <x:v>Cerulean &amp; Sky Blue</x:v>
      </x:c>
      <x:c r="F133" s="297" t="str">
        <x:v>#6699CC</x:v>
      </x:c>
      <x:c r="G133" s="38" t="str">
        <x:v>Standard</x:v>
      </x:c>
      <x:c r="H133" s="477" t="n">
        <x:f>'Seasons'!F18</x:f>
        <x:v>1000</x:v>
      </x:c>
      <x:c r="I133" s="60" t="n">
        <x:f>'Seasons'!G18</x:f>
        <x:v>0.01</x:v>
      </x:c>
      <x:c r="J133" s="12" t="n">
        <x:f>H133*I133</x:f>
        <x:v>10</x:v>
      </x:c>
      <x:c r="K133" s="60" t="n">
        <x:f>J133*'Seasons'!H18</x:f>
        <x:v>4</x:v>
      </x:c>
      <x:c r="L133" s="60" t="n">
        <x:f>J133*'Seasons'!I18</x:f>
        <x:v>2</x:v>
      </x:c>
      <x:c r="M133" s="60" t="n">
        <x:f>J133*IF(G133="Growth",'Summary'!$J$9,IF(G133="Standard",'Summary'!$J$10,NA()))</x:f>
        <x:v>1</x:v>
      </x:c>
      <x:c r="N133" s="12" t="n">
        <x:f>J133-SUM(K133:M133)</x:f>
        <x:v>3</x:v>
      </x:c>
      <x:c r="O133" s="477" t="n">
        <x:f>'Summary'!$J$21</x:f>
        <x:v>10</x:v>
      </x:c>
      <x:c r="P133" s="477" t="n">
        <x:f>'Summary'!$J$22</x:f>
        <x:v>100</x:v>
      </x:c>
      <x:c r="Q133" s="477" t="n">
        <x:f>'Summary'!$J$24</x:f>
        <x:v>2</x:v>
      </x:c>
      <x:c r="R133" s="482" t="n">
        <x:f>Q133/H133</x:f>
        <x:v>0.002</x:v>
      </x:c>
      <x:c r="S133" s="60" t="n">
        <x:f>Q133*'Summary'!$J$12</x:f>
        <x:v>0.02</x:v>
      </x:c>
    </x:row>
    <x:row r="134" ht="25" customHeight="1">
      <x:c r="C134" s="32" t="n">
        <x:v>129</x:v>
      </x:c>
      <x:c r="D134" s="32" t="n">
        <x:v>13</x:v>
      </x:c>
      <x:c r="E134" s="32" t="str">
        <x:v>Cerulean &amp; Sky Blue</x:v>
      </x:c>
      <x:c r="F134" s="299" t="str">
        <x:v>#6699FF</x:v>
      </x:c>
      <x:c r="G134" s="38" t="str">
        <x:v>Standard</x:v>
      </x:c>
      <x:c r="H134" s="475" t="n">
        <x:f>'Seasons'!F18</x:f>
        <x:v>1000</x:v>
      </x:c>
      <x:c r="I134" s="35" t="n">
        <x:f>'Seasons'!G18</x:f>
        <x:v>0.01</x:v>
      </x:c>
      <x:c r="J134" s="37" t="n">
        <x:f>H134*I134</x:f>
        <x:v>10</x:v>
      </x:c>
      <x:c r="K134" s="35" t="n">
        <x:f>J134*'Seasons'!H18</x:f>
        <x:v>4</x:v>
      </x:c>
      <x:c r="L134" s="35" t="n">
        <x:f>J134*'Seasons'!I18</x:f>
        <x:v>2</x:v>
      </x:c>
      <x:c r="M134" s="35" t="n">
        <x:f>J134*IF(G134="Growth",'Summary'!$J$9,IF(G134="Standard",'Summary'!$J$10,NA()))</x:f>
        <x:v>1</x:v>
      </x:c>
      <x:c r="N134" s="37" t="n">
        <x:f>J134-SUM(K134:M134)</x:f>
        <x:v>3</x:v>
      </x:c>
      <x:c r="O134" s="475" t="n">
        <x:f>'Summary'!$J$21</x:f>
        <x:v>10</x:v>
      </x:c>
      <x:c r="P134" s="475" t="n">
        <x:f>'Summary'!$J$22</x:f>
        <x:v>100</x:v>
      </x:c>
      <x:c r="Q134" s="475" t="n">
        <x:f>'Summary'!$J$24</x:f>
        <x:v>2</x:v>
      </x:c>
      <x:c r="R134" s="481" t="n">
        <x:f>Q134/H134</x:f>
        <x:v>0.002</x:v>
      </x:c>
      <x:c r="S134" s="35" t="n">
        <x:f>Q134*'Summary'!$J$12</x:f>
        <x:v>0.02</x:v>
      </x:c>
    </x:row>
    <x:row r="135" ht="25" customHeight="1">
      <x:c r="C135" s="2" t="n">
        <x:v>130</x:v>
      </x:c>
      <x:c r="D135" s="2" t="n">
        <x:v>13</x:v>
      </x:c>
      <x:c r="E135" s="2" t="str">
        <x:v>Cerulean &amp; Sky Blue</x:v>
      </x:c>
      <x:c r="F135" s="301" t="str">
        <x:v>#666699</x:v>
      </x:c>
      <x:c r="G135" s="38" t="str">
        <x:v>Standard</x:v>
      </x:c>
      <x:c r="H135" s="477" t="n">
        <x:f>'Seasons'!F18</x:f>
        <x:v>1000</x:v>
      </x:c>
      <x:c r="I135" s="60" t="n">
        <x:f>'Seasons'!G18</x:f>
        <x:v>0.01</x:v>
      </x:c>
      <x:c r="J135" s="12" t="n">
        <x:f>H135*I135</x:f>
        <x:v>10</x:v>
      </x:c>
      <x:c r="K135" s="60" t="n">
        <x:f>J135*'Seasons'!H18</x:f>
        <x:v>4</x:v>
      </x:c>
      <x:c r="L135" s="60" t="n">
        <x:f>J135*'Seasons'!I18</x:f>
        <x:v>2</x:v>
      </x:c>
      <x:c r="M135" s="60" t="n">
        <x:f>J135*IF(G135="Growth",'Summary'!$J$9,IF(G135="Standard",'Summary'!$J$10,NA()))</x:f>
        <x:v>1</x:v>
      </x:c>
      <x:c r="N135" s="12" t="n">
        <x:f>J135-SUM(K135:M135)</x:f>
        <x:v>3</x:v>
      </x:c>
      <x:c r="O135" s="477" t="n">
        <x:f>'Summary'!$J$21</x:f>
        <x:v>10</x:v>
      </x:c>
      <x:c r="P135" s="477" t="n">
        <x:f>'Summary'!$J$22</x:f>
        <x:v>100</x:v>
      </x:c>
      <x:c r="Q135" s="477" t="n">
        <x:f>'Summary'!$J$24</x:f>
        <x:v>2</x:v>
      </x:c>
      <x:c r="R135" s="482" t="n">
        <x:f>Q135/H135</x:f>
        <x:v>0.002</x:v>
      </x:c>
      <x:c r="S135" s="60" t="n">
        <x:f>Q135*'Summary'!$J$12</x:f>
        <x:v>0.02</x:v>
      </x:c>
    </x:row>
    <x:row r="136" ht="25" customHeight="1">
      <x:c r="C136" s="32" t="n">
        <x:v>131</x:v>
      </x:c>
      <x:c r="D136" s="32" t="n">
        <x:v>14</x:v>
      </x:c>
      <x:c r="E136" s="32" t="str">
        <x:v>Cobalt &amp; Deep Azure</x:v>
      </x:c>
      <x:c r="F136" s="303" t="str">
        <x:v>#000033</x:v>
      </x:c>
      <x:c r="G136" s="38" t="str">
        <x:v>Growth</x:v>
      </x:c>
      <x:c r="H136" s="475" t="n">
        <x:f>'Seasons'!F19</x:f>
        <x:v>1000</x:v>
      </x:c>
      <x:c r="I136" s="35" t="n">
        <x:f>'Seasons'!G19</x:f>
        <x:v>0.01</x:v>
      </x:c>
      <x:c r="J136" s="37" t="n">
        <x:f>H136*I136</x:f>
        <x:v>10</x:v>
      </x:c>
      <x:c r="K136" s="35" t="n">
        <x:f>J136*'Seasons'!H19</x:f>
        <x:v>4</x:v>
      </x:c>
      <x:c r="L136" s="35" t="n">
        <x:f>J136*'Seasons'!I19</x:f>
        <x:v>2</x:v>
      </x:c>
      <x:c r="M136" s="35" t="n">
        <x:f>J136*IF(G136="Growth",'Summary'!$J$9,IF(G136="Standard",'Summary'!$J$10,NA()))</x:f>
        <x:v>2</x:v>
      </x:c>
      <x:c r="N136" s="37" t="n">
        <x:f>J136-SUM(K136:M136)</x:f>
        <x:v>2</x:v>
      </x:c>
      <x:c r="O136" s="475" t="n">
        <x:f>'Summary'!$J$21</x:f>
        <x:v>10</x:v>
      </x:c>
      <x:c r="P136" s="475" t="n">
        <x:f>'Summary'!$J$22</x:f>
        <x:v>100</x:v>
      </x:c>
      <x:c r="Q136" s="475" t="n">
        <x:f>'Summary'!$J$24</x:f>
        <x:v>2</x:v>
      </x:c>
      <x:c r="R136" s="481" t="n">
        <x:f>Q136/H136</x:f>
        <x:v>0.002</x:v>
      </x:c>
      <x:c r="S136" s="35" t="n">
        <x:f>Q136*'Summary'!$J$12</x:f>
        <x:v>0.02</x:v>
      </x:c>
    </x:row>
    <x:row r="137" ht="25" customHeight="1">
      <x:c r="C137" s="2" t="n">
        <x:v>132</x:v>
      </x:c>
      <x:c r="D137" s="2" t="n">
        <x:v>14</x:v>
      </x:c>
      <x:c r="E137" s="2" t="str">
        <x:v>Cobalt &amp; Deep Azure</x:v>
      </x:c>
      <x:c r="F137" s="305" t="str">
        <x:v>#000066</x:v>
      </x:c>
      <x:c r="G137" s="38" t="str">
        <x:v>Growth</x:v>
      </x:c>
      <x:c r="H137" s="477" t="n">
        <x:f>'Seasons'!F19</x:f>
        <x:v>1000</x:v>
      </x:c>
      <x:c r="I137" s="60" t="n">
        <x:f>'Seasons'!G19</x:f>
        <x:v>0.01</x:v>
      </x:c>
      <x:c r="J137" s="12" t="n">
        <x:f>H137*I137</x:f>
        <x:v>10</x:v>
      </x:c>
      <x:c r="K137" s="60" t="n">
        <x:f>J137*'Seasons'!H19</x:f>
        <x:v>4</x:v>
      </x:c>
      <x:c r="L137" s="60" t="n">
        <x:f>J137*'Seasons'!I19</x:f>
        <x:v>2</x:v>
      </x:c>
      <x:c r="M137" s="60" t="n">
        <x:f>J137*IF(G137="Growth",'Summary'!$J$9,IF(G137="Standard",'Summary'!$J$10,NA()))</x:f>
        <x:v>2</x:v>
      </x:c>
      <x:c r="N137" s="12" t="n">
        <x:f>J137-SUM(K137:M137)</x:f>
        <x:v>2</x:v>
      </x:c>
      <x:c r="O137" s="477" t="n">
        <x:f>'Summary'!$J$21</x:f>
        <x:v>10</x:v>
      </x:c>
      <x:c r="P137" s="477" t="n">
        <x:f>'Summary'!$J$22</x:f>
        <x:v>100</x:v>
      </x:c>
      <x:c r="Q137" s="477" t="n">
        <x:f>'Summary'!$J$24</x:f>
        <x:v>2</x:v>
      </x:c>
      <x:c r="R137" s="482" t="n">
        <x:f>Q137/H137</x:f>
        <x:v>0.002</x:v>
      </x:c>
      <x:c r="S137" s="60" t="n">
        <x:f>Q137*'Summary'!$J$12</x:f>
        <x:v>0.02</x:v>
      </x:c>
    </x:row>
    <x:row r="138" ht="25" customHeight="1">
      <x:c r="C138" s="32" t="n">
        <x:v>133</x:v>
      </x:c>
      <x:c r="D138" s="32" t="n">
        <x:v>14</x:v>
      </x:c>
      <x:c r="E138" s="32" t="str">
        <x:v>Cobalt &amp; Deep Azure</x:v>
      </x:c>
      <x:c r="F138" s="307" t="str">
        <x:v>#000099</x:v>
      </x:c>
      <x:c r="G138" s="38" t="str">
        <x:v>Standard</x:v>
      </x:c>
      <x:c r="H138" s="475" t="n">
        <x:f>'Seasons'!F19</x:f>
        <x:v>1000</x:v>
      </x:c>
      <x:c r="I138" s="35" t="n">
        <x:f>'Seasons'!G19</x:f>
        <x:v>0.01</x:v>
      </x:c>
      <x:c r="J138" s="37" t="n">
        <x:f>H138*I138</x:f>
        <x:v>10</x:v>
      </x:c>
      <x:c r="K138" s="35" t="n">
        <x:f>J138*'Seasons'!H19</x:f>
        <x:v>4</x:v>
      </x:c>
      <x:c r="L138" s="35" t="n">
        <x:f>J138*'Seasons'!I19</x:f>
        <x:v>2</x:v>
      </x:c>
      <x:c r="M138" s="35" t="n">
        <x:f>J138*IF(G138="Growth",'Summary'!$J$9,IF(G138="Standard",'Summary'!$J$10,NA()))</x:f>
        <x:v>1</x:v>
      </x:c>
      <x:c r="N138" s="37" t="n">
        <x:f>J138-SUM(K138:M138)</x:f>
        <x:v>3</x:v>
      </x:c>
      <x:c r="O138" s="475" t="n">
        <x:f>'Summary'!$J$21</x:f>
        <x:v>10</x:v>
      </x:c>
      <x:c r="P138" s="475" t="n">
        <x:f>'Summary'!$J$22</x:f>
        <x:v>100</x:v>
      </x:c>
      <x:c r="Q138" s="475" t="n">
        <x:f>'Summary'!$J$24</x:f>
        <x:v>2</x:v>
      </x:c>
      <x:c r="R138" s="481" t="n">
        <x:f>Q138/H138</x:f>
        <x:v>0.002</x:v>
      </x:c>
      <x:c r="S138" s="35" t="n">
        <x:f>Q138*'Summary'!$J$12</x:f>
        <x:v>0.02</x:v>
      </x:c>
    </x:row>
    <x:row r="139" ht="25" customHeight="1">
      <x:c r="C139" s="2" t="n">
        <x:v>134</x:v>
      </x:c>
      <x:c r="D139" s="2" t="n">
        <x:v>14</x:v>
      </x:c>
      <x:c r="E139" s="2" t="str">
        <x:v>Cobalt &amp; Deep Azure</x:v>
      </x:c>
      <x:c r="F139" s="309" t="str">
        <x:v>#0000CC</x:v>
      </x:c>
      <x:c r="G139" s="38" t="str">
        <x:v>Standard</x:v>
      </x:c>
      <x:c r="H139" s="477" t="n">
        <x:f>'Seasons'!F19</x:f>
        <x:v>1000</x:v>
      </x:c>
      <x:c r="I139" s="60" t="n">
        <x:f>'Seasons'!G19</x:f>
        <x:v>0.01</x:v>
      </x:c>
      <x:c r="J139" s="12" t="n">
        <x:f>H139*I139</x:f>
        <x:v>10</x:v>
      </x:c>
      <x:c r="K139" s="60" t="n">
        <x:f>J139*'Seasons'!H19</x:f>
        <x:v>4</x:v>
      </x:c>
      <x:c r="L139" s="60" t="n">
        <x:f>J139*'Seasons'!I19</x:f>
        <x:v>2</x:v>
      </x:c>
      <x:c r="M139" s="60" t="n">
        <x:f>J139*IF(G139="Growth",'Summary'!$J$9,IF(G139="Standard",'Summary'!$J$10,NA()))</x:f>
        <x:v>1</x:v>
      </x:c>
      <x:c r="N139" s="12" t="n">
        <x:f>J139-SUM(K139:M139)</x:f>
        <x:v>3</x:v>
      </x:c>
      <x:c r="O139" s="477" t="n">
        <x:f>'Summary'!$J$21</x:f>
        <x:v>10</x:v>
      </x:c>
      <x:c r="P139" s="477" t="n">
        <x:f>'Summary'!$J$22</x:f>
        <x:v>100</x:v>
      </x:c>
      <x:c r="Q139" s="477" t="n">
        <x:f>'Summary'!$J$24</x:f>
        <x:v>2</x:v>
      </x:c>
      <x:c r="R139" s="482" t="n">
        <x:f>Q139/H139</x:f>
        <x:v>0.002</x:v>
      </x:c>
      <x:c r="S139" s="60" t="n">
        <x:f>Q139*'Summary'!$J$12</x:f>
        <x:v>0.02</x:v>
      </x:c>
    </x:row>
    <x:row r="140" ht="25" customHeight="1">
      <x:c r="C140" s="32" t="n">
        <x:v>135</x:v>
      </x:c>
      <x:c r="D140" s="32" t="n">
        <x:v>14</x:v>
      </x:c>
      <x:c r="E140" s="32" t="str">
        <x:v>Cobalt &amp; Deep Azure</x:v>
      </x:c>
      <x:c r="F140" s="311" t="str">
        <x:v>#0000FF</x:v>
      </x:c>
      <x:c r="G140" s="38" t="str">
        <x:v>Standard</x:v>
      </x:c>
      <x:c r="H140" s="475" t="n">
        <x:f>'Seasons'!F19</x:f>
        <x:v>1000</x:v>
      </x:c>
      <x:c r="I140" s="35" t="n">
        <x:f>'Seasons'!G19</x:f>
        <x:v>0.01</x:v>
      </x:c>
      <x:c r="J140" s="37" t="n">
        <x:f>H140*I140</x:f>
        <x:v>10</x:v>
      </x:c>
      <x:c r="K140" s="35" t="n">
        <x:f>J140*'Seasons'!H19</x:f>
        <x:v>4</x:v>
      </x:c>
      <x:c r="L140" s="35" t="n">
        <x:f>J140*'Seasons'!I19</x:f>
        <x:v>2</x:v>
      </x:c>
      <x:c r="M140" s="35" t="n">
        <x:f>J140*IF(G140="Growth",'Summary'!$J$9,IF(G140="Standard",'Summary'!$J$10,NA()))</x:f>
        <x:v>1</x:v>
      </x:c>
      <x:c r="N140" s="37" t="n">
        <x:f>J140-SUM(K140:M140)</x:f>
        <x:v>3</x:v>
      </x:c>
      <x:c r="O140" s="475" t="n">
        <x:f>'Summary'!$J$21</x:f>
        <x:v>10</x:v>
      </x:c>
      <x:c r="P140" s="475" t="n">
        <x:f>'Summary'!$J$22</x:f>
        <x:v>100</x:v>
      </x:c>
      <x:c r="Q140" s="475" t="n">
        <x:f>'Summary'!$J$24</x:f>
        <x:v>2</x:v>
      </x:c>
      <x:c r="R140" s="481" t="n">
        <x:f>Q140/H140</x:f>
        <x:v>0.002</x:v>
      </x:c>
      <x:c r="S140" s="35" t="n">
        <x:f>Q140*'Summary'!$J$12</x:f>
        <x:v>0.02</x:v>
      </x:c>
    </x:row>
    <x:row r="141" ht="25" customHeight="1">
      <x:c r="C141" s="2" t="n">
        <x:v>136</x:v>
      </x:c>
      <x:c r="D141" s="2" t="n">
        <x:v>14</x:v>
      </x:c>
      <x:c r="E141" s="2" t="str">
        <x:v>Cobalt &amp; Deep Azure</x:v>
      </x:c>
      <x:c r="F141" s="313" t="str">
        <x:v>#330033</x:v>
      </x:c>
      <x:c r="G141" s="38" t="str">
        <x:v>Standard</x:v>
      </x:c>
      <x:c r="H141" s="477" t="n">
        <x:f>'Seasons'!F19</x:f>
        <x:v>1000</x:v>
      </x:c>
      <x:c r="I141" s="60" t="n">
        <x:f>'Seasons'!G19</x:f>
        <x:v>0.01</x:v>
      </x:c>
      <x:c r="J141" s="12" t="n">
        <x:f>H141*I141</x:f>
        <x:v>10</x:v>
      </x:c>
      <x:c r="K141" s="60" t="n">
        <x:f>J141*'Seasons'!H19</x:f>
        <x:v>4</x:v>
      </x:c>
      <x:c r="L141" s="60" t="n">
        <x:f>J141*'Seasons'!I19</x:f>
        <x:v>2</x:v>
      </x:c>
      <x:c r="M141" s="60" t="n">
        <x:f>J141*IF(G141="Growth",'Summary'!$J$9,IF(G141="Standard",'Summary'!$J$10,NA()))</x:f>
        <x:v>1</x:v>
      </x:c>
      <x:c r="N141" s="12" t="n">
        <x:f>J141-SUM(K141:M141)</x:f>
        <x:v>3</x:v>
      </x:c>
      <x:c r="O141" s="477" t="n">
        <x:f>'Summary'!$J$21</x:f>
        <x:v>10</x:v>
      </x:c>
      <x:c r="P141" s="477" t="n">
        <x:f>'Summary'!$J$22</x:f>
        <x:v>100</x:v>
      </x:c>
      <x:c r="Q141" s="477" t="n">
        <x:f>'Summary'!$J$24</x:f>
        <x:v>2</x:v>
      </x:c>
      <x:c r="R141" s="482" t="n">
        <x:f>Q141/H141</x:f>
        <x:v>0.002</x:v>
      </x:c>
      <x:c r="S141" s="60" t="n">
        <x:f>Q141*'Summary'!$J$12</x:f>
        <x:v>0.02</x:v>
      </x:c>
    </x:row>
    <x:row r="142" ht="25" customHeight="1">
      <x:c r="C142" s="32" t="n">
        <x:v>137</x:v>
      </x:c>
      <x:c r="D142" s="32" t="n">
        <x:v>14</x:v>
      </x:c>
      <x:c r="E142" s="32" t="str">
        <x:v>Cobalt &amp; Deep Azure</x:v>
      </x:c>
      <x:c r="F142" s="315" t="str">
        <x:v>#330066</x:v>
      </x:c>
      <x:c r="G142" s="38" t="str">
        <x:v>Standard</x:v>
      </x:c>
      <x:c r="H142" s="475" t="n">
        <x:f>'Seasons'!F19</x:f>
        <x:v>1000</x:v>
      </x:c>
      <x:c r="I142" s="35" t="n">
        <x:f>'Seasons'!G19</x:f>
        <x:v>0.01</x:v>
      </x:c>
      <x:c r="J142" s="37" t="n">
        <x:f>H142*I142</x:f>
        <x:v>10</x:v>
      </x:c>
      <x:c r="K142" s="35" t="n">
        <x:f>J142*'Seasons'!H19</x:f>
        <x:v>4</x:v>
      </x:c>
      <x:c r="L142" s="35" t="n">
        <x:f>J142*'Seasons'!I19</x:f>
        <x:v>2</x:v>
      </x:c>
      <x:c r="M142" s="35" t="n">
        <x:f>J142*IF(G142="Growth",'Summary'!$J$9,IF(G142="Standard",'Summary'!$J$10,NA()))</x:f>
        <x:v>1</x:v>
      </x:c>
      <x:c r="N142" s="37" t="n">
        <x:f>J142-SUM(K142:M142)</x:f>
        <x:v>3</x:v>
      </x:c>
      <x:c r="O142" s="475" t="n">
        <x:f>'Summary'!$J$21</x:f>
        <x:v>10</x:v>
      </x:c>
      <x:c r="P142" s="475" t="n">
        <x:f>'Summary'!$J$22</x:f>
        <x:v>100</x:v>
      </x:c>
      <x:c r="Q142" s="475" t="n">
        <x:f>'Summary'!$J$24</x:f>
        <x:v>2</x:v>
      </x:c>
      <x:c r="R142" s="481" t="n">
        <x:f>Q142/H142</x:f>
        <x:v>0.002</x:v>
      </x:c>
      <x:c r="S142" s="35" t="n">
        <x:f>Q142*'Summary'!$J$12</x:f>
        <x:v>0.02</x:v>
      </x:c>
    </x:row>
    <x:row r="143" ht="25" customHeight="1">
      <x:c r="C143" s="2" t="n">
        <x:v>138</x:v>
      </x:c>
      <x:c r="D143" s="2" t="n">
        <x:v>14</x:v>
      </x:c>
      <x:c r="E143" s="2" t="str">
        <x:v>Cobalt &amp; Deep Azure</x:v>
      </x:c>
      <x:c r="F143" s="317" t="str">
        <x:v>#330099</x:v>
      </x:c>
      <x:c r="G143" s="38" t="str">
        <x:v>Standard</x:v>
      </x:c>
      <x:c r="H143" s="477" t="n">
        <x:f>'Seasons'!F19</x:f>
        <x:v>1000</x:v>
      </x:c>
      <x:c r="I143" s="60" t="n">
        <x:f>'Seasons'!G19</x:f>
        <x:v>0.01</x:v>
      </x:c>
      <x:c r="J143" s="12" t="n">
        <x:f>H143*I143</x:f>
        <x:v>10</x:v>
      </x:c>
      <x:c r="K143" s="60" t="n">
        <x:f>J143*'Seasons'!H19</x:f>
        <x:v>4</x:v>
      </x:c>
      <x:c r="L143" s="60" t="n">
        <x:f>J143*'Seasons'!I19</x:f>
        <x:v>2</x:v>
      </x:c>
      <x:c r="M143" s="60" t="n">
        <x:f>J143*IF(G143="Growth",'Summary'!$J$9,IF(G143="Standard",'Summary'!$J$10,NA()))</x:f>
        <x:v>1</x:v>
      </x:c>
      <x:c r="N143" s="12" t="n">
        <x:f>J143-SUM(K143:M143)</x:f>
        <x:v>3</x:v>
      </x:c>
      <x:c r="O143" s="477" t="n">
        <x:f>'Summary'!$J$21</x:f>
        <x:v>10</x:v>
      </x:c>
      <x:c r="P143" s="477" t="n">
        <x:f>'Summary'!$J$22</x:f>
        <x:v>100</x:v>
      </x:c>
      <x:c r="Q143" s="477" t="n">
        <x:f>'Summary'!$J$24</x:f>
        <x:v>2</x:v>
      </x:c>
      <x:c r="R143" s="482" t="n">
        <x:f>Q143/H143</x:f>
        <x:v>0.002</x:v>
      </x:c>
      <x:c r="S143" s="60" t="n">
        <x:f>Q143*'Summary'!$J$12</x:f>
        <x:v>0.02</x:v>
      </x:c>
    </x:row>
    <x:row r="144" ht="25" customHeight="1">
      <x:c r="C144" s="32" t="n">
        <x:v>139</x:v>
      </x:c>
      <x:c r="D144" s="32" t="n">
        <x:v>14</x:v>
      </x:c>
      <x:c r="E144" s="32" t="str">
        <x:v>Cobalt &amp; Deep Azure</x:v>
      </x:c>
      <x:c r="F144" s="319" t="str">
        <x:v>#3300CC</x:v>
      </x:c>
      <x:c r="G144" s="38" t="str">
        <x:v>Standard</x:v>
      </x:c>
      <x:c r="H144" s="475" t="n">
        <x:f>'Seasons'!F19</x:f>
        <x:v>1000</x:v>
      </x:c>
      <x:c r="I144" s="35" t="n">
        <x:f>'Seasons'!G19</x:f>
        <x:v>0.01</x:v>
      </x:c>
      <x:c r="J144" s="37" t="n">
        <x:f>H144*I144</x:f>
        <x:v>10</x:v>
      </x:c>
      <x:c r="K144" s="35" t="n">
        <x:f>J144*'Seasons'!H19</x:f>
        <x:v>4</x:v>
      </x:c>
      <x:c r="L144" s="35" t="n">
        <x:f>J144*'Seasons'!I19</x:f>
        <x:v>2</x:v>
      </x:c>
      <x:c r="M144" s="35" t="n">
        <x:f>J144*IF(G144="Growth",'Summary'!$J$9,IF(G144="Standard",'Summary'!$J$10,NA()))</x:f>
        <x:v>1</x:v>
      </x:c>
      <x:c r="N144" s="37" t="n">
        <x:f>J144-SUM(K144:M144)</x:f>
        <x:v>3</x:v>
      </x:c>
      <x:c r="O144" s="475" t="n">
        <x:f>'Summary'!$J$21</x:f>
        <x:v>10</x:v>
      </x:c>
      <x:c r="P144" s="475" t="n">
        <x:f>'Summary'!$J$22</x:f>
        <x:v>100</x:v>
      </x:c>
      <x:c r="Q144" s="475" t="n">
        <x:f>'Summary'!$J$24</x:f>
        <x:v>2</x:v>
      </x:c>
      <x:c r="R144" s="481" t="n">
        <x:f>Q144/H144</x:f>
        <x:v>0.002</x:v>
      </x:c>
      <x:c r="S144" s="35" t="n">
        <x:f>Q144*'Summary'!$J$12</x:f>
        <x:v>0.02</x:v>
      </x:c>
    </x:row>
    <x:row r="145" ht="25" customHeight="1">
      <x:c r="C145" s="2" t="n">
        <x:v>140</x:v>
      </x:c>
      <x:c r="D145" s="2" t="n">
        <x:v>14</x:v>
      </x:c>
      <x:c r="E145" s="2" t="str">
        <x:v>Cobalt &amp; Deep Azure</x:v>
      </x:c>
      <x:c r="F145" s="321" t="str">
        <x:v>#3300FF</x:v>
      </x:c>
      <x:c r="G145" s="38" t="str">
        <x:v>Standard</x:v>
      </x:c>
      <x:c r="H145" s="477" t="n">
        <x:f>'Seasons'!F19</x:f>
        <x:v>1000</x:v>
      </x:c>
      <x:c r="I145" s="60" t="n">
        <x:f>'Seasons'!G19</x:f>
        <x:v>0.01</x:v>
      </x:c>
      <x:c r="J145" s="12" t="n">
        <x:f>H145*I145</x:f>
        <x:v>10</x:v>
      </x:c>
      <x:c r="K145" s="60" t="n">
        <x:f>J145*'Seasons'!H19</x:f>
        <x:v>4</x:v>
      </x:c>
      <x:c r="L145" s="60" t="n">
        <x:f>J145*'Seasons'!I19</x:f>
        <x:v>2</x:v>
      </x:c>
      <x:c r="M145" s="60" t="n">
        <x:f>J145*IF(G145="Growth",'Summary'!$J$9,IF(G145="Standard",'Summary'!$J$10,NA()))</x:f>
        <x:v>1</x:v>
      </x:c>
      <x:c r="N145" s="12" t="n">
        <x:f>J145-SUM(K145:M145)</x:f>
        <x:v>3</x:v>
      </x:c>
      <x:c r="O145" s="477" t="n">
        <x:f>'Summary'!$J$21</x:f>
        <x:v>10</x:v>
      </x:c>
      <x:c r="P145" s="477" t="n">
        <x:f>'Summary'!$J$22</x:f>
        <x:v>100</x:v>
      </x:c>
      <x:c r="Q145" s="477" t="n">
        <x:f>'Summary'!$J$24</x:f>
        <x:v>2</x:v>
      </x:c>
      <x:c r="R145" s="482" t="n">
        <x:f>Q145/H145</x:f>
        <x:v>0.002</x:v>
      </x:c>
      <x:c r="S145" s="60" t="n">
        <x:f>Q145*'Summary'!$J$12</x:f>
        <x:v>0.02</x:v>
      </x:c>
    </x:row>
    <x:row r="146" ht="25" customHeight="1">
      <x:c r="C146" s="32" t="n">
        <x:v>141</x:v>
      </x:c>
      <x:c r="D146" s="32" t="n">
        <x:v>15</x:v>
      </x:c>
      <x:c r="E146" s="32" t="str">
        <x:v>Midnight Navy &amp; Steel</x:v>
      </x:c>
      <x:c r="F146" s="323" t="str">
        <x:v>#0033FF</x:v>
      </x:c>
      <x:c r="G146" s="38" t="str">
        <x:v>Growth</x:v>
      </x:c>
      <x:c r="H146" s="475" t="n">
        <x:f>'Seasons'!F20</x:f>
        <x:v>1000</x:v>
      </x:c>
      <x:c r="I146" s="35" t="n">
        <x:f>'Seasons'!G20</x:f>
        <x:v>0.01</x:v>
      </x:c>
      <x:c r="J146" s="37" t="n">
        <x:f>H146*I146</x:f>
        <x:v>10</x:v>
      </x:c>
      <x:c r="K146" s="35" t="n">
        <x:f>J146*'Seasons'!H20</x:f>
        <x:v>4</x:v>
      </x:c>
      <x:c r="L146" s="35" t="n">
        <x:f>J146*'Seasons'!I20</x:f>
        <x:v>2</x:v>
      </x:c>
      <x:c r="M146" s="35" t="n">
        <x:f>J146*IF(G146="Growth",'Summary'!$J$9,IF(G146="Standard",'Summary'!$J$10,NA()))</x:f>
        <x:v>2</x:v>
      </x:c>
      <x:c r="N146" s="37" t="n">
        <x:f>J146-SUM(K146:M146)</x:f>
        <x:v>2</x:v>
      </x:c>
      <x:c r="O146" s="475" t="n">
        <x:f>'Summary'!$J$21</x:f>
        <x:v>10</x:v>
      </x:c>
      <x:c r="P146" s="475" t="n">
        <x:f>'Summary'!$J$22</x:f>
        <x:v>100</x:v>
      </x:c>
      <x:c r="Q146" s="475" t="n">
        <x:f>'Summary'!$J$24</x:f>
        <x:v>2</x:v>
      </x:c>
      <x:c r="R146" s="481" t="n">
        <x:f>Q146/H146</x:f>
        <x:v>0.002</x:v>
      </x:c>
      <x:c r="S146" s="35" t="n">
        <x:f>Q146*'Summary'!$J$12</x:f>
        <x:v>0.02</x:v>
      </x:c>
    </x:row>
    <x:row r="147" ht="25" customHeight="1">
      <x:c r="C147" s="2" t="n">
        <x:v>142</x:v>
      </x:c>
      <x:c r="D147" s="2" t="n">
        <x:v>15</x:v>
      </x:c>
      <x:c r="E147" s="2" t="str">
        <x:v>Midnight Navy &amp; Steel</x:v>
      </x:c>
      <x:c r="F147" s="325" t="str">
        <x:v>#6666CC</x:v>
      </x:c>
      <x:c r="G147" s="38" t="str">
        <x:v>Growth</x:v>
      </x:c>
      <x:c r="H147" s="477" t="n">
        <x:f>'Seasons'!F20</x:f>
        <x:v>1000</x:v>
      </x:c>
      <x:c r="I147" s="60" t="n">
        <x:f>'Seasons'!G20</x:f>
        <x:v>0.01</x:v>
      </x:c>
      <x:c r="J147" s="12" t="n">
        <x:f>H147*I147</x:f>
        <x:v>10</x:v>
      </x:c>
      <x:c r="K147" s="60" t="n">
        <x:f>J147*'Seasons'!H20</x:f>
        <x:v>4</x:v>
      </x:c>
      <x:c r="L147" s="60" t="n">
        <x:f>J147*'Seasons'!I20</x:f>
        <x:v>2</x:v>
      </x:c>
      <x:c r="M147" s="60" t="n">
        <x:f>J147*IF(G147="Growth",'Summary'!$J$9,IF(G147="Standard",'Summary'!$J$10,NA()))</x:f>
        <x:v>2</x:v>
      </x:c>
      <x:c r="N147" s="12" t="n">
        <x:f>J147-SUM(K147:M147)</x:f>
        <x:v>2</x:v>
      </x:c>
      <x:c r="O147" s="477" t="n">
        <x:f>'Summary'!$J$21</x:f>
        <x:v>10</x:v>
      </x:c>
      <x:c r="P147" s="477" t="n">
        <x:f>'Summary'!$J$22</x:f>
        <x:v>100</x:v>
      </x:c>
      <x:c r="Q147" s="477" t="n">
        <x:f>'Summary'!$J$24</x:f>
        <x:v>2</x:v>
      </x:c>
      <x:c r="R147" s="482" t="n">
        <x:f>Q147/H147</x:f>
        <x:v>0.002</x:v>
      </x:c>
      <x:c r="S147" s="60" t="n">
        <x:f>Q147*'Summary'!$J$12</x:f>
        <x:v>0.02</x:v>
      </x:c>
    </x:row>
    <x:row r="148" ht="25" customHeight="1">
      <x:c r="C148" s="32" t="n">
        <x:v>143</x:v>
      </x:c>
      <x:c r="D148" s="32" t="n">
        <x:v>15</x:v>
      </x:c>
      <x:c r="E148" s="32" t="str">
        <x:v>Midnight Navy &amp; Steel</x:v>
      </x:c>
      <x:c r="F148" s="327" t="str">
        <x:v>#6666FF</x:v>
      </x:c>
      <x:c r="G148" s="38" t="str">
        <x:v>Standard</x:v>
      </x:c>
      <x:c r="H148" s="475" t="n">
        <x:f>'Seasons'!F20</x:f>
        <x:v>1000</x:v>
      </x:c>
      <x:c r="I148" s="35" t="n">
        <x:f>'Seasons'!G20</x:f>
        <x:v>0.01</x:v>
      </x:c>
      <x:c r="J148" s="37" t="n">
        <x:f>H148*I148</x:f>
        <x:v>10</x:v>
      </x:c>
      <x:c r="K148" s="35" t="n">
        <x:f>J148*'Seasons'!H20</x:f>
        <x:v>4</x:v>
      </x:c>
      <x:c r="L148" s="35" t="n">
        <x:f>J148*'Seasons'!I20</x:f>
        <x:v>2</x:v>
      </x:c>
      <x:c r="M148" s="35" t="n">
        <x:f>J148*IF(G148="Growth",'Summary'!$J$9,IF(G148="Standard",'Summary'!$J$10,NA()))</x:f>
        <x:v>1</x:v>
      </x:c>
      <x:c r="N148" s="37" t="n">
        <x:f>J148-SUM(K148:M148)</x:f>
        <x:v>3</x:v>
      </x:c>
      <x:c r="O148" s="475" t="n">
        <x:f>'Summary'!$J$21</x:f>
        <x:v>10</x:v>
      </x:c>
      <x:c r="P148" s="475" t="n">
        <x:f>'Summary'!$J$22</x:f>
        <x:v>100</x:v>
      </x:c>
      <x:c r="Q148" s="475" t="n">
        <x:f>'Summary'!$J$24</x:f>
        <x:v>2</x:v>
      </x:c>
      <x:c r="R148" s="481" t="n">
        <x:f>Q148/H148</x:f>
        <x:v>0.002</x:v>
      </x:c>
      <x:c r="S148" s="35" t="n">
        <x:f>Q148*'Summary'!$J$12</x:f>
        <x:v>0.02</x:v>
      </x:c>
    </x:row>
    <x:row r="149" ht="25" customHeight="1">
      <x:c r="C149" s="2" t="n">
        <x:v>144</x:v>
      </x:c>
      <x:c r="D149" s="2" t="n">
        <x:v>15</x:v>
      </x:c>
      <x:c r="E149" s="2" t="str">
        <x:v>Midnight Navy &amp; Steel</x:v>
      </x:c>
      <x:c r="F149" s="329" t="str">
        <x:v>#9999CC</x:v>
      </x:c>
      <x:c r="G149" s="38" t="str">
        <x:v>Standard</x:v>
      </x:c>
      <x:c r="H149" s="477" t="n">
        <x:f>'Seasons'!F20</x:f>
        <x:v>1000</x:v>
      </x:c>
      <x:c r="I149" s="60" t="n">
        <x:f>'Seasons'!G20</x:f>
        <x:v>0.01</x:v>
      </x:c>
      <x:c r="J149" s="12" t="n">
        <x:f>H149*I149</x:f>
        <x:v>10</x:v>
      </x:c>
      <x:c r="K149" s="60" t="n">
        <x:f>J149*'Seasons'!H20</x:f>
        <x:v>4</x:v>
      </x:c>
      <x:c r="L149" s="60" t="n">
        <x:f>J149*'Seasons'!I20</x:f>
        <x:v>2</x:v>
      </x:c>
      <x:c r="M149" s="60" t="n">
        <x:f>J149*IF(G149="Growth",'Summary'!$J$9,IF(G149="Standard",'Summary'!$J$10,NA()))</x:f>
        <x:v>1</x:v>
      </x:c>
      <x:c r="N149" s="12" t="n">
        <x:f>J149-SUM(K149:M149)</x:f>
        <x:v>3</x:v>
      </x:c>
      <x:c r="O149" s="477" t="n">
        <x:f>'Summary'!$J$21</x:f>
        <x:v>10</x:v>
      </x:c>
      <x:c r="P149" s="477" t="n">
        <x:f>'Summary'!$J$22</x:f>
        <x:v>100</x:v>
      </x:c>
      <x:c r="Q149" s="477" t="n">
        <x:f>'Summary'!$J$24</x:f>
        <x:v>2</x:v>
      </x:c>
      <x:c r="R149" s="482" t="n">
        <x:f>Q149/H149</x:f>
        <x:v>0.002</x:v>
      </x:c>
      <x:c r="S149" s="60" t="n">
        <x:f>Q149*'Summary'!$J$12</x:f>
        <x:v>0.02</x:v>
      </x:c>
    </x:row>
    <x:row r="150" ht="25" customHeight="1">
      <x:c r="C150" s="32" t="n">
        <x:v>145</x:v>
      </x:c>
      <x:c r="D150" s="32" t="n">
        <x:v>15</x:v>
      </x:c>
      <x:c r="E150" s="32" t="str">
        <x:v>Midnight Navy &amp; Steel</x:v>
      </x:c>
      <x:c r="F150" s="331" t="str">
        <x:v>#9999FF</x:v>
      </x:c>
      <x:c r="G150" s="38" t="str">
        <x:v>Standard</x:v>
      </x:c>
      <x:c r="H150" s="475" t="n">
        <x:f>'Seasons'!F20</x:f>
        <x:v>1000</x:v>
      </x:c>
      <x:c r="I150" s="35" t="n">
        <x:f>'Seasons'!G20</x:f>
        <x:v>0.01</x:v>
      </x:c>
      <x:c r="J150" s="37" t="n">
        <x:f>H150*I150</x:f>
        <x:v>10</x:v>
      </x:c>
      <x:c r="K150" s="35" t="n">
        <x:f>J150*'Seasons'!H20</x:f>
        <x:v>4</x:v>
      </x:c>
      <x:c r="L150" s="35" t="n">
        <x:f>J150*'Seasons'!I20</x:f>
        <x:v>2</x:v>
      </x:c>
      <x:c r="M150" s="35" t="n">
        <x:f>J150*IF(G150="Growth",'Summary'!$J$9,IF(G150="Standard",'Summary'!$J$10,NA()))</x:f>
        <x:v>1</x:v>
      </x:c>
      <x:c r="N150" s="37" t="n">
        <x:f>J150-SUM(K150:M150)</x:f>
        <x:v>3</x:v>
      </x:c>
      <x:c r="O150" s="475" t="n">
        <x:f>'Summary'!$J$21</x:f>
        <x:v>10</x:v>
      </x:c>
      <x:c r="P150" s="475" t="n">
        <x:f>'Summary'!$J$22</x:f>
        <x:v>100</x:v>
      </x:c>
      <x:c r="Q150" s="475" t="n">
        <x:f>'Summary'!$J$24</x:f>
        <x:v>2</x:v>
      </x:c>
      <x:c r="R150" s="481" t="n">
        <x:f>Q150/H150</x:f>
        <x:v>0.002</x:v>
      </x:c>
      <x:c r="S150" s="35" t="n">
        <x:f>Q150*'Summary'!$J$12</x:f>
        <x:v>0.02</x:v>
      </x:c>
    </x:row>
    <x:row r="151" ht="25" customHeight="1">
      <x:c r="C151" s="2" t="n">
        <x:v>146</x:v>
      </x:c>
      <x:c r="D151" s="2" t="n">
        <x:v>15</x:v>
      </x:c>
      <x:c r="E151" s="2" t="str">
        <x:v>Midnight Navy &amp; Steel</x:v>
      </x:c>
      <x:c r="F151" s="333" t="str">
        <x:v>#CCCCFF</x:v>
      </x:c>
      <x:c r="G151" s="38" t="str">
        <x:v>Standard</x:v>
      </x:c>
      <x:c r="H151" s="477" t="n">
        <x:f>'Seasons'!F20</x:f>
        <x:v>1000</x:v>
      </x:c>
      <x:c r="I151" s="60" t="n">
        <x:f>'Seasons'!G20</x:f>
        <x:v>0.01</x:v>
      </x:c>
      <x:c r="J151" s="12" t="n">
        <x:f>H151*I151</x:f>
        <x:v>10</x:v>
      </x:c>
      <x:c r="K151" s="60" t="n">
        <x:f>J151*'Seasons'!H20</x:f>
        <x:v>4</x:v>
      </x:c>
      <x:c r="L151" s="60" t="n">
        <x:f>J151*'Seasons'!I20</x:f>
        <x:v>2</x:v>
      </x:c>
      <x:c r="M151" s="60" t="n">
        <x:f>J151*IF(G151="Growth",'Summary'!$J$9,IF(G151="Standard",'Summary'!$J$10,NA()))</x:f>
        <x:v>1</x:v>
      </x:c>
      <x:c r="N151" s="12" t="n">
        <x:f>J151-SUM(K151:M151)</x:f>
        <x:v>3</x:v>
      </x:c>
      <x:c r="O151" s="477" t="n">
        <x:f>'Summary'!$J$21</x:f>
        <x:v>10</x:v>
      </x:c>
      <x:c r="P151" s="477" t="n">
        <x:f>'Summary'!$J$22</x:f>
        <x:v>100</x:v>
      </x:c>
      <x:c r="Q151" s="477" t="n">
        <x:f>'Summary'!$J$24</x:f>
        <x:v>2</x:v>
      </x:c>
      <x:c r="R151" s="482" t="n">
        <x:f>Q151/H151</x:f>
        <x:v>0.002</x:v>
      </x:c>
      <x:c r="S151" s="60" t="n">
        <x:f>Q151*'Summary'!$J$12</x:f>
        <x:v>0.02</x:v>
      </x:c>
    </x:row>
    <x:row r="152" ht="25" customHeight="1">
      <x:c r="C152" s="32" t="n">
        <x:v>147</x:v>
      </x:c>
      <x:c r="D152" s="32" t="n">
        <x:v>15</x:v>
      </x:c>
      <x:c r="E152" s="32" t="str">
        <x:v>Midnight Navy &amp; Steel</x:v>
      </x:c>
      <x:c r="F152" s="335" t="str">
        <x:v>#333366</x:v>
      </x:c>
      <x:c r="G152" s="38" t="str">
        <x:v>Standard</x:v>
      </x:c>
      <x:c r="H152" s="475" t="n">
        <x:f>'Seasons'!F20</x:f>
        <x:v>1000</x:v>
      </x:c>
      <x:c r="I152" s="35" t="n">
        <x:f>'Seasons'!G20</x:f>
        <x:v>0.01</x:v>
      </x:c>
      <x:c r="J152" s="37" t="n">
        <x:f>H152*I152</x:f>
        <x:v>10</x:v>
      </x:c>
      <x:c r="K152" s="35" t="n">
        <x:f>J152*'Seasons'!H20</x:f>
        <x:v>4</x:v>
      </x:c>
      <x:c r="L152" s="35" t="n">
        <x:f>J152*'Seasons'!I20</x:f>
        <x:v>2</x:v>
      </x:c>
      <x:c r="M152" s="35" t="n">
        <x:f>J152*IF(G152="Growth",'Summary'!$J$9,IF(G152="Standard",'Summary'!$J$10,NA()))</x:f>
        <x:v>1</x:v>
      </x:c>
      <x:c r="N152" s="37" t="n">
        <x:f>J152-SUM(K152:M152)</x:f>
        <x:v>3</x:v>
      </x:c>
      <x:c r="O152" s="475" t="n">
        <x:f>'Summary'!$J$21</x:f>
        <x:v>10</x:v>
      </x:c>
      <x:c r="P152" s="475" t="n">
        <x:f>'Summary'!$J$22</x:f>
        <x:v>100</x:v>
      </x:c>
      <x:c r="Q152" s="475" t="n">
        <x:f>'Summary'!$J$24</x:f>
        <x:v>2</x:v>
      </x:c>
      <x:c r="R152" s="481" t="n">
        <x:f>Q152/H152</x:f>
        <x:v>0.002</x:v>
      </x:c>
      <x:c r="S152" s="35" t="n">
        <x:f>Q152*'Summary'!$J$12</x:f>
        <x:v>0.02</x:v>
      </x:c>
    </x:row>
    <x:row r="153" ht="25" customHeight="1">
      <x:c r="C153" s="2" t="n">
        <x:v>148</x:v>
      </x:c>
      <x:c r="D153" s="2" t="n">
        <x:v>15</x:v>
      </x:c>
      <x:c r="E153" s="2" t="str">
        <x:v>Midnight Navy &amp; Steel</x:v>
      </x:c>
      <x:c r="F153" s="337" t="str">
        <x:v>#333399</x:v>
      </x:c>
      <x:c r="G153" s="38" t="str">
        <x:v>Standard</x:v>
      </x:c>
      <x:c r="H153" s="477" t="n">
        <x:f>'Seasons'!F20</x:f>
        <x:v>1000</x:v>
      </x:c>
      <x:c r="I153" s="60" t="n">
        <x:f>'Seasons'!G20</x:f>
        <x:v>0.01</x:v>
      </x:c>
      <x:c r="J153" s="12" t="n">
        <x:f>H153*I153</x:f>
        <x:v>10</x:v>
      </x:c>
      <x:c r="K153" s="60" t="n">
        <x:f>J153*'Seasons'!H20</x:f>
        <x:v>4</x:v>
      </x:c>
      <x:c r="L153" s="60" t="n">
        <x:f>J153*'Seasons'!I20</x:f>
        <x:v>2</x:v>
      </x:c>
      <x:c r="M153" s="60" t="n">
        <x:f>J153*IF(G153="Growth",'Summary'!$J$9,IF(G153="Standard",'Summary'!$J$10,NA()))</x:f>
        <x:v>1</x:v>
      </x:c>
      <x:c r="N153" s="12" t="n">
        <x:f>J153-SUM(K153:M153)</x:f>
        <x:v>3</x:v>
      </x:c>
      <x:c r="O153" s="477" t="n">
        <x:f>'Summary'!$J$21</x:f>
        <x:v>10</x:v>
      </x:c>
      <x:c r="P153" s="477" t="n">
        <x:f>'Summary'!$J$22</x:f>
        <x:v>100</x:v>
      </x:c>
      <x:c r="Q153" s="477" t="n">
        <x:f>'Summary'!$J$24</x:f>
        <x:v>2</x:v>
      </x:c>
      <x:c r="R153" s="482" t="n">
        <x:f>Q153/H153</x:f>
        <x:v>0.002</x:v>
      </x:c>
      <x:c r="S153" s="60" t="n">
        <x:f>Q153*'Summary'!$J$12</x:f>
        <x:v>0.02</x:v>
      </x:c>
    </x:row>
    <x:row r="154" ht="25" customHeight="1">
      <x:c r="C154" s="32" t="n">
        <x:v>149</x:v>
      </x:c>
      <x:c r="D154" s="32" t="n">
        <x:v>15</x:v>
      </x:c>
      <x:c r="E154" s="32" t="str">
        <x:v>Midnight Navy &amp; Steel</x:v>
      </x:c>
      <x:c r="F154" s="339" t="str">
        <x:v>#3333CC</x:v>
      </x:c>
      <x:c r="G154" s="38" t="str">
        <x:v>Standard</x:v>
      </x:c>
      <x:c r="H154" s="475" t="n">
        <x:f>'Seasons'!F20</x:f>
        <x:v>1000</x:v>
      </x:c>
      <x:c r="I154" s="35" t="n">
        <x:f>'Seasons'!G20</x:f>
        <x:v>0.01</x:v>
      </x:c>
      <x:c r="J154" s="37" t="n">
        <x:f>H154*I154</x:f>
        <x:v>10</x:v>
      </x:c>
      <x:c r="K154" s="35" t="n">
        <x:f>J154*'Seasons'!H20</x:f>
        <x:v>4</x:v>
      </x:c>
      <x:c r="L154" s="35" t="n">
        <x:f>J154*'Seasons'!I20</x:f>
        <x:v>2</x:v>
      </x:c>
      <x:c r="M154" s="35" t="n">
        <x:f>J154*IF(G154="Growth",'Summary'!$J$9,IF(G154="Standard",'Summary'!$J$10,NA()))</x:f>
        <x:v>1</x:v>
      </x:c>
      <x:c r="N154" s="37" t="n">
        <x:f>J154-SUM(K154:M154)</x:f>
        <x:v>3</x:v>
      </x:c>
      <x:c r="O154" s="475" t="n">
        <x:f>'Summary'!$J$21</x:f>
        <x:v>10</x:v>
      </x:c>
      <x:c r="P154" s="475" t="n">
        <x:f>'Summary'!$J$22</x:f>
        <x:v>100</x:v>
      </x:c>
      <x:c r="Q154" s="475" t="n">
        <x:f>'Summary'!$J$24</x:f>
        <x:v>2</x:v>
      </x:c>
      <x:c r="R154" s="481" t="n">
        <x:f>Q154/H154</x:f>
        <x:v>0.002</x:v>
      </x:c>
      <x:c r="S154" s="35" t="n">
        <x:f>Q154*'Summary'!$J$12</x:f>
        <x:v>0.02</x:v>
      </x:c>
    </x:row>
    <x:row r="155" ht="25" customHeight="1">
      <x:c r="C155" s="2" t="n">
        <x:v>150</x:v>
      </x:c>
      <x:c r="D155" s="2" t="n">
        <x:v>15</x:v>
      </x:c>
      <x:c r="E155" s="2" t="str">
        <x:v>Midnight Navy &amp; Steel</x:v>
      </x:c>
      <x:c r="F155" s="341" t="str">
        <x:v>#3333FF</x:v>
      </x:c>
      <x:c r="G155" s="38" t="str">
        <x:v>Standard</x:v>
      </x:c>
      <x:c r="H155" s="477" t="n">
        <x:f>'Seasons'!F20</x:f>
        <x:v>1000</x:v>
      </x:c>
      <x:c r="I155" s="60" t="n">
        <x:f>'Seasons'!G20</x:f>
        <x:v>0.01</x:v>
      </x:c>
      <x:c r="J155" s="12" t="n">
        <x:f>H155*I155</x:f>
        <x:v>10</x:v>
      </x:c>
      <x:c r="K155" s="60" t="n">
        <x:f>J155*'Seasons'!H20</x:f>
        <x:v>4</x:v>
      </x:c>
      <x:c r="L155" s="60" t="n">
        <x:f>J155*'Seasons'!I20</x:f>
        <x:v>2</x:v>
      </x:c>
      <x:c r="M155" s="60" t="n">
        <x:f>J155*IF(G155="Growth",'Summary'!$J$9,IF(G155="Standard",'Summary'!$J$10,NA()))</x:f>
        <x:v>1</x:v>
      </x:c>
      <x:c r="N155" s="12" t="n">
        <x:f>J155-SUM(K155:M155)</x:f>
        <x:v>3</x:v>
      </x:c>
      <x:c r="O155" s="477" t="n">
        <x:f>'Summary'!$J$21</x:f>
        <x:v>10</x:v>
      </x:c>
      <x:c r="P155" s="477" t="n">
        <x:f>'Summary'!$J$22</x:f>
        <x:v>100</x:v>
      </x:c>
      <x:c r="Q155" s="477" t="n">
        <x:f>'Summary'!$J$24</x:f>
        <x:v>2</x:v>
      </x:c>
      <x:c r="R155" s="482" t="n">
        <x:f>Q155/H155</x:f>
        <x:v>0.002</x:v>
      </x:c>
      <x:c r="S155" s="60" t="n">
        <x:f>Q155*'Summary'!$J$12</x:f>
        <x:v>0.02</x:v>
      </x:c>
    </x:row>
    <x:row r="156" ht="25" customHeight="1">
      <x:c r="C156" s="32" t="n">
        <x:v>151</x:v>
      </x:c>
      <x:c r="D156" s="32" t="n">
        <x:v>16</x:v>
      </x:c>
      <x:c r="E156" s="32" t="str">
        <x:v>Royal Violet &amp; Indigo</x:v>
      </x:c>
      <x:c r="F156" s="343" t="str">
        <x:v>#660033</x:v>
      </x:c>
      <x:c r="G156" s="38" t="str">
        <x:v>Growth</x:v>
      </x:c>
      <x:c r="H156" s="475" t="n">
        <x:f>'Seasons'!F21</x:f>
        <x:v>1000</x:v>
      </x:c>
      <x:c r="I156" s="35" t="n">
        <x:f>'Seasons'!G21</x:f>
        <x:v>0.01</x:v>
      </x:c>
      <x:c r="J156" s="37" t="n">
        <x:f>H156*I156</x:f>
        <x:v>10</x:v>
      </x:c>
      <x:c r="K156" s="35" t="n">
        <x:f>J156*'Seasons'!H21</x:f>
        <x:v>4</x:v>
      </x:c>
      <x:c r="L156" s="35" t="n">
        <x:f>J156*'Seasons'!I21</x:f>
        <x:v>2</x:v>
      </x:c>
      <x:c r="M156" s="35" t="n">
        <x:f>J156*IF(G156="Growth",'Summary'!$J$9,IF(G156="Standard",'Summary'!$J$10,NA()))</x:f>
        <x:v>2</x:v>
      </x:c>
      <x:c r="N156" s="37" t="n">
        <x:f>J156-SUM(K156:M156)</x:f>
        <x:v>2</x:v>
      </x:c>
      <x:c r="O156" s="475" t="n">
        <x:f>'Summary'!$J$21</x:f>
        <x:v>10</x:v>
      </x:c>
      <x:c r="P156" s="475" t="n">
        <x:f>'Summary'!$J$22</x:f>
        <x:v>100</x:v>
      </x:c>
      <x:c r="Q156" s="475" t="n">
        <x:f>'Summary'!$J$24</x:f>
        <x:v>2</x:v>
      </x:c>
      <x:c r="R156" s="481" t="n">
        <x:f>Q156/H156</x:f>
        <x:v>0.002</x:v>
      </x:c>
      <x:c r="S156" s="35" t="n">
        <x:f>Q156*'Summary'!$J$12</x:f>
        <x:v>0.02</x:v>
      </x:c>
    </x:row>
    <x:row r="157" ht="25" customHeight="1">
      <x:c r="C157" s="2" t="n">
        <x:v>152</x:v>
      </x:c>
      <x:c r="D157" s="2" t="n">
        <x:v>16</x:v>
      </x:c>
      <x:c r="E157" s="2" t="str">
        <x:v>Royal Violet &amp; Indigo</x:v>
      </x:c>
      <x:c r="F157" s="345" t="str">
        <x:v>#660066</x:v>
      </x:c>
      <x:c r="G157" s="38" t="str">
        <x:v>Growth</x:v>
      </x:c>
      <x:c r="H157" s="477" t="n">
        <x:f>'Seasons'!F21</x:f>
        <x:v>1000</x:v>
      </x:c>
      <x:c r="I157" s="60" t="n">
        <x:f>'Seasons'!G21</x:f>
        <x:v>0.01</x:v>
      </x:c>
      <x:c r="J157" s="12" t="n">
        <x:f>H157*I157</x:f>
        <x:v>10</x:v>
      </x:c>
      <x:c r="K157" s="60" t="n">
        <x:f>J157*'Seasons'!H21</x:f>
        <x:v>4</x:v>
      </x:c>
      <x:c r="L157" s="60" t="n">
        <x:f>J157*'Seasons'!I21</x:f>
        <x:v>2</x:v>
      </x:c>
      <x:c r="M157" s="60" t="n">
        <x:f>J157*IF(G157="Growth",'Summary'!$J$9,IF(G157="Standard",'Summary'!$J$10,NA()))</x:f>
        <x:v>2</x:v>
      </x:c>
      <x:c r="N157" s="12" t="n">
        <x:f>J157-SUM(K157:M157)</x:f>
        <x:v>2</x:v>
      </x:c>
      <x:c r="O157" s="477" t="n">
        <x:f>'Summary'!$J$21</x:f>
        <x:v>10</x:v>
      </x:c>
      <x:c r="P157" s="477" t="n">
        <x:f>'Summary'!$J$22</x:f>
        <x:v>100</x:v>
      </x:c>
      <x:c r="Q157" s="477" t="n">
        <x:f>'Summary'!$J$24</x:f>
        <x:v>2</x:v>
      </x:c>
      <x:c r="R157" s="482" t="n">
        <x:f>Q157/H157</x:f>
        <x:v>0.002</x:v>
      </x:c>
      <x:c r="S157" s="60" t="n">
        <x:f>Q157*'Summary'!$J$12</x:f>
        <x:v>0.02</x:v>
      </x:c>
    </x:row>
    <x:row r="158" ht="25" customHeight="1">
      <x:c r="C158" s="32" t="n">
        <x:v>153</x:v>
      </x:c>
      <x:c r="D158" s="32" t="n">
        <x:v>16</x:v>
      </x:c>
      <x:c r="E158" s="32" t="str">
        <x:v>Royal Violet &amp; Indigo</x:v>
      </x:c>
      <x:c r="F158" s="347" t="str">
        <x:v>#660099</x:v>
      </x:c>
      <x:c r="G158" s="38" t="str">
        <x:v>Standard</x:v>
      </x:c>
      <x:c r="H158" s="475" t="n">
        <x:f>'Seasons'!F21</x:f>
        <x:v>1000</x:v>
      </x:c>
      <x:c r="I158" s="35" t="n">
        <x:f>'Seasons'!G21</x:f>
        <x:v>0.01</x:v>
      </x:c>
      <x:c r="J158" s="37" t="n">
        <x:f>H158*I158</x:f>
        <x:v>10</x:v>
      </x:c>
      <x:c r="K158" s="35" t="n">
        <x:f>J158*'Seasons'!H21</x:f>
        <x:v>4</x:v>
      </x:c>
      <x:c r="L158" s="35" t="n">
        <x:f>J158*'Seasons'!I21</x:f>
        <x:v>2</x:v>
      </x:c>
      <x:c r="M158" s="35" t="n">
        <x:f>J158*IF(G158="Growth",'Summary'!$J$9,IF(G158="Standard",'Summary'!$J$10,NA()))</x:f>
        <x:v>1</x:v>
      </x:c>
      <x:c r="N158" s="37" t="n">
        <x:f>J158-SUM(K158:M158)</x:f>
        <x:v>3</x:v>
      </x:c>
      <x:c r="O158" s="475" t="n">
        <x:f>'Summary'!$J$21</x:f>
        <x:v>10</x:v>
      </x:c>
      <x:c r="P158" s="475" t="n">
        <x:f>'Summary'!$J$22</x:f>
        <x:v>100</x:v>
      </x:c>
      <x:c r="Q158" s="475" t="n">
        <x:f>'Summary'!$J$24</x:f>
        <x:v>2</x:v>
      </x:c>
      <x:c r="R158" s="481" t="n">
        <x:f>Q158/H158</x:f>
        <x:v>0.002</x:v>
      </x:c>
      <x:c r="S158" s="35" t="n">
        <x:f>Q158*'Summary'!$J$12</x:f>
        <x:v>0.02</x:v>
      </x:c>
    </x:row>
    <x:row r="159" ht="25" customHeight="1">
      <x:c r="C159" s="2" t="n">
        <x:v>154</x:v>
      </x:c>
      <x:c r="D159" s="2" t="n">
        <x:v>16</x:v>
      </x:c>
      <x:c r="E159" s="2" t="str">
        <x:v>Royal Violet &amp; Indigo</x:v>
      </x:c>
      <x:c r="F159" s="349" t="str">
        <x:v>#6600CC</x:v>
      </x:c>
      <x:c r="G159" s="38" t="str">
        <x:v>Standard</x:v>
      </x:c>
      <x:c r="H159" s="477" t="n">
        <x:f>'Seasons'!F21</x:f>
        <x:v>1000</x:v>
      </x:c>
      <x:c r="I159" s="60" t="n">
        <x:f>'Seasons'!G21</x:f>
        <x:v>0.01</x:v>
      </x:c>
      <x:c r="J159" s="12" t="n">
        <x:f>H159*I159</x:f>
        <x:v>10</x:v>
      </x:c>
      <x:c r="K159" s="60" t="n">
        <x:f>J159*'Seasons'!H21</x:f>
        <x:v>4</x:v>
      </x:c>
      <x:c r="L159" s="60" t="n">
        <x:f>J159*'Seasons'!I21</x:f>
        <x:v>2</x:v>
      </x:c>
      <x:c r="M159" s="60" t="n">
        <x:f>J159*IF(G159="Growth",'Summary'!$J$9,IF(G159="Standard",'Summary'!$J$10,NA()))</x:f>
        <x:v>1</x:v>
      </x:c>
      <x:c r="N159" s="12" t="n">
        <x:f>J159-SUM(K159:M159)</x:f>
        <x:v>3</x:v>
      </x:c>
      <x:c r="O159" s="477" t="n">
        <x:f>'Summary'!$J$21</x:f>
        <x:v>10</x:v>
      </x:c>
      <x:c r="P159" s="477" t="n">
        <x:f>'Summary'!$J$22</x:f>
        <x:v>100</x:v>
      </x:c>
      <x:c r="Q159" s="477" t="n">
        <x:f>'Summary'!$J$24</x:f>
        <x:v>2</x:v>
      </x:c>
      <x:c r="R159" s="482" t="n">
        <x:f>Q159/H159</x:f>
        <x:v>0.002</x:v>
      </x:c>
      <x:c r="S159" s="60" t="n">
        <x:f>Q159*'Summary'!$J$12</x:f>
        <x:v>0.02</x:v>
      </x:c>
    </x:row>
    <x:row r="160" ht="25" customHeight="1">
      <x:c r="C160" s="32" t="n">
        <x:v>155</x:v>
      </x:c>
      <x:c r="D160" s="32" t="n">
        <x:v>16</x:v>
      </x:c>
      <x:c r="E160" s="32" t="str">
        <x:v>Royal Violet &amp; Indigo</x:v>
      </x:c>
      <x:c r="F160" s="351" t="str">
        <x:v>#6600FF</x:v>
      </x:c>
      <x:c r="G160" s="38" t="str">
        <x:v>Standard</x:v>
      </x:c>
      <x:c r="H160" s="475" t="n">
        <x:f>'Seasons'!F21</x:f>
        <x:v>1000</x:v>
      </x:c>
      <x:c r="I160" s="35" t="n">
        <x:f>'Seasons'!G21</x:f>
        <x:v>0.01</x:v>
      </x:c>
      <x:c r="J160" s="37" t="n">
        <x:f>H160*I160</x:f>
        <x:v>10</x:v>
      </x:c>
      <x:c r="K160" s="35" t="n">
        <x:f>J160*'Seasons'!H21</x:f>
        <x:v>4</x:v>
      </x:c>
      <x:c r="L160" s="35" t="n">
        <x:f>J160*'Seasons'!I21</x:f>
        <x:v>2</x:v>
      </x:c>
      <x:c r="M160" s="35" t="n">
        <x:f>J160*IF(G160="Growth",'Summary'!$J$9,IF(G160="Standard",'Summary'!$J$10,NA()))</x:f>
        <x:v>1</x:v>
      </x:c>
      <x:c r="N160" s="37" t="n">
        <x:f>J160-SUM(K160:M160)</x:f>
        <x:v>3</x:v>
      </x:c>
      <x:c r="O160" s="475" t="n">
        <x:f>'Summary'!$J$21</x:f>
        <x:v>10</x:v>
      </x:c>
      <x:c r="P160" s="475" t="n">
        <x:f>'Summary'!$J$22</x:f>
        <x:v>100</x:v>
      </x:c>
      <x:c r="Q160" s="475" t="n">
        <x:f>'Summary'!$J$24</x:f>
        <x:v>2</x:v>
      </x:c>
      <x:c r="R160" s="481" t="n">
        <x:f>Q160/H160</x:f>
        <x:v>0.002</x:v>
      </x:c>
      <x:c r="S160" s="35" t="n">
        <x:f>Q160*'Summary'!$J$12</x:f>
        <x:v>0.02</x:v>
      </x:c>
    </x:row>
    <x:row r="161" ht="25" customHeight="1">
      <x:c r="C161" s="2" t="n">
        <x:v>156</x:v>
      </x:c>
      <x:c r="D161" s="2" t="n">
        <x:v>16</x:v>
      </x:c>
      <x:c r="E161" s="2" t="str">
        <x:v>Royal Violet &amp; Indigo</x:v>
      </x:c>
      <x:c r="F161" s="353" t="str">
        <x:v>#990033</x:v>
      </x:c>
      <x:c r="G161" s="38" t="str">
        <x:v>Standard</x:v>
      </x:c>
      <x:c r="H161" s="477" t="n">
        <x:f>'Seasons'!F21</x:f>
        <x:v>1000</x:v>
      </x:c>
      <x:c r="I161" s="60" t="n">
        <x:f>'Seasons'!G21</x:f>
        <x:v>0.01</x:v>
      </x:c>
      <x:c r="J161" s="12" t="n">
        <x:f>H161*I161</x:f>
        <x:v>10</x:v>
      </x:c>
      <x:c r="K161" s="60" t="n">
        <x:f>J161*'Seasons'!H21</x:f>
        <x:v>4</x:v>
      </x:c>
      <x:c r="L161" s="60" t="n">
        <x:f>J161*'Seasons'!I21</x:f>
        <x:v>2</x:v>
      </x:c>
      <x:c r="M161" s="60" t="n">
        <x:f>J161*IF(G161="Growth",'Summary'!$J$9,IF(G161="Standard",'Summary'!$J$10,NA()))</x:f>
        <x:v>1</x:v>
      </x:c>
      <x:c r="N161" s="12" t="n">
        <x:f>J161-SUM(K161:M161)</x:f>
        <x:v>3</x:v>
      </x:c>
      <x:c r="O161" s="477" t="n">
        <x:f>'Summary'!$J$21</x:f>
        <x:v>10</x:v>
      </x:c>
      <x:c r="P161" s="477" t="n">
        <x:f>'Summary'!$J$22</x:f>
        <x:v>100</x:v>
      </x:c>
      <x:c r="Q161" s="477" t="n">
        <x:f>'Summary'!$J$24</x:f>
        <x:v>2</x:v>
      </x:c>
      <x:c r="R161" s="482" t="n">
        <x:f>Q161/H161</x:f>
        <x:v>0.002</x:v>
      </x:c>
      <x:c r="S161" s="60" t="n">
        <x:f>Q161*'Summary'!$J$12</x:f>
        <x:v>0.02</x:v>
      </x:c>
    </x:row>
    <x:row r="162" ht="25" customHeight="1">
      <x:c r="C162" s="32" t="n">
        <x:v>157</x:v>
      </x:c>
      <x:c r="D162" s="32" t="n">
        <x:v>16</x:v>
      </x:c>
      <x:c r="E162" s="32" t="str">
        <x:v>Royal Violet &amp; Indigo</x:v>
      </x:c>
      <x:c r="F162" s="355" t="str">
        <x:v>#990066</x:v>
      </x:c>
      <x:c r="G162" s="38" t="str">
        <x:v>Standard</x:v>
      </x:c>
      <x:c r="H162" s="475" t="n">
        <x:f>'Seasons'!F21</x:f>
        <x:v>1000</x:v>
      </x:c>
      <x:c r="I162" s="35" t="n">
        <x:f>'Seasons'!G21</x:f>
        <x:v>0.01</x:v>
      </x:c>
      <x:c r="J162" s="37" t="n">
        <x:f>H162*I162</x:f>
        <x:v>10</x:v>
      </x:c>
      <x:c r="K162" s="35" t="n">
        <x:f>J162*'Seasons'!H21</x:f>
        <x:v>4</x:v>
      </x:c>
      <x:c r="L162" s="35" t="n">
        <x:f>J162*'Seasons'!I21</x:f>
        <x:v>2</x:v>
      </x:c>
      <x:c r="M162" s="35" t="n">
        <x:f>J162*IF(G162="Growth",'Summary'!$J$9,IF(G162="Standard",'Summary'!$J$10,NA()))</x:f>
        <x:v>1</x:v>
      </x:c>
      <x:c r="N162" s="37" t="n">
        <x:f>J162-SUM(K162:M162)</x:f>
        <x:v>3</x:v>
      </x:c>
      <x:c r="O162" s="475" t="n">
        <x:f>'Summary'!$J$21</x:f>
        <x:v>10</x:v>
      </x:c>
      <x:c r="P162" s="475" t="n">
        <x:f>'Summary'!$J$22</x:f>
        <x:v>100</x:v>
      </x:c>
      <x:c r="Q162" s="475" t="n">
        <x:f>'Summary'!$J$24</x:f>
        <x:v>2</x:v>
      </x:c>
      <x:c r="R162" s="481" t="n">
        <x:f>Q162/H162</x:f>
        <x:v>0.002</x:v>
      </x:c>
      <x:c r="S162" s="35" t="n">
        <x:f>Q162*'Summary'!$J$12</x:f>
        <x:v>0.02</x:v>
      </x:c>
    </x:row>
    <x:row r="163" ht="25" customHeight="1">
      <x:c r="C163" s="2" t="n">
        <x:v>158</x:v>
      </x:c>
      <x:c r="D163" s="2" t="n">
        <x:v>16</x:v>
      </x:c>
      <x:c r="E163" s="2" t="str">
        <x:v>Royal Violet &amp; Indigo</x:v>
      </x:c>
      <x:c r="F163" s="357" t="str">
        <x:v>#990099</x:v>
      </x:c>
      <x:c r="G163" s="38" t="str">
        <x:v>Standard</x:v>
      </x:c>
      <x:c r="H163" s="477" t="n">
        <x:f>'Seasons'!F21</x:f>
        <x:v>1000</x:v>
      </x:c>
      <x:c r="I163" s="60" t="n">
        <x:f>'Seasons'!G21</x:f>
        <x:v>0.01</x:v>
      </x:c>
      <x:c r="J163" s="12" t="n">
        <x:f>H163*I163</x:f>
        <x:v>10</x:v>
      </x:c>
      <x:c r="K163" s="60" t="n">
        <x:f>J163*'Seasons'!H21</x:f>
        <x:v>4</x:v>
      </x:c>
      <x:c r="L163" s="60" t="n">
        <x:f>J163*'Seasons'!I21</x:f>
        <x:v>2</x:v>
      </x:c>
      <x:c r="M163" s="60" t="n">
        <x:f>J163*IF(G163="Growth",'Summary'!$J$9,IF(G163="Standard",'Summary'!$J$10,NA()))</x:f>
        <x:v>1</x:v>
      </x:c>
      <x:c r="N163" s="12" t="n">
        <x:f>J163-SUM(K163:M163)</x:f>
        <x:v>3</x:v>
      </x:c>
      <x:c r="O163" s="477" t="n">
        <x:f>'Summary'!$J$21</x:f>
        <x:v>10</x:v>
      </x:c>
      <x:c r="P163" s="477" t="n">
        <x:f>'Summary'!$J$22</x:f>
        <x:v>100</x:v>
      </x:c>
      <x:c r="Q163" s="477" t="n">
        <x:f>'Summary'!$J$24</x:f>
        <x:v>2</x:v>
      </x:c>
      <x:c r="R163" s="482" t="n">
        <x:f>Q163/H163</x:f>
        <x:v>0.002</x:v>
      </x:c>
      <x:c r="S163" s="60" t="n">
        <x:f>Q163*'Summary'!$J$12</x:f>
        <x:v>0.02</x:v>
      </x:c>
    </x:row>
    <x:row r="164" ht="25" customHeight="1">
      <x:c r="C164" s="32" t="n">
        <x:v>159</x:v>
      </x:c>
      <x:c r="D164" s="32" t="n">
        <x:v>16</x:v>
      </x:c>
      <x:c r="E164" s="32" t="str">
        <x:v>Royal Violet &amp; Indigo</x:v>
      </x:c>
      <x:c r="F164" s="359" t="str">
        <x:v>#9900CC</x:v>
      </x:c>
      <x:c r="G164" s="38" t="str">
        <x:v>Standard</x:v>
      </x:c>
      <x:c r="H164" s="475" t="n">
        <x:f>'Seasons'!F21</x:f>
        <x:v>1000</x:v>
      </x:c>
      <x:c r="I164" s="35" t="n">
        <x:f>'Seasons'!G21</x:f>
        <x:v>0.01</x:v>
      </x:c>
      <x:c r="J164" s="37" t="n">
        <x:f>H164*I164</x:f>
        <x:v>10</x:v>
      </x:c>
      <x:c r="K164" s="35" t="n">
        <x:f>J164*'Seasons'!H21</x:f>
        <x:v>4</x:v>
      </x:c>
      <x:c r="L164" s="35" t="n">
        <x:f>J164*'Seasons'!I21</x:f>
        <x:v>2</x:v>
      </x:c>
      <x:c r="M164" s="35" t="n">
        <x:f>J164*IF(G164="Growth",'Summary'!$J$9,IF(G164="Standard",'Summary'!$J$10,NA()))</x:f>
        <x:v>1</x:v>
      </x:c>
      <x:c r="N164" s="37" t="n">
        <x:f>J164-SUM(K164:M164)</x:f>
        <x:v>3</x:v>
      </x:c>
      <x:c r="O164" s="475" t="n">
        <x:f>'Summary'!$J$21</x:f>
        <x:v>10</x:v>
      </x:c>
      <x:c r="P164" s="475" t="n">
        <x:f>'Summary'!$J$22</x:f>
        <x:v>100</x:v>
      </x:c>
      <x:c r="Q164" s="475" t="n">
        <x:f>'Summary'!$J$24</x:f>
        <x:v>2</x:v>
      </x:c>
      <x:c r="R164" s="481" t="n">
        <x:f>Q164/H164</x:f>
        <x:v>0.002</x:v>
      </x:c>
      <x:c r="S164" s="35" t="n">
        <x:f>Q164*'Summary'!$J$12</x:f>
        <x:v>0.02</x:v>
      </x:c>
    </x:row>
    <x:row r="165" ht="25" customHeight="1">
      <x:c r="C165" s="2" t="n">
        <x:v>160</x:v>
      </x:c>
      <x:c r="D165" s="2" t="n">
        <x:v>16</x:v>
      </x:c>
      <x:c r="E165" s="2" t="str">
        <x:v>Royal Violet &amp; Indigo</x:v>
      </x:c>
      <x:c r="F165" s="361" t="str">
        <x:v>#9900FF</x:v>
      </x:c>
      <x:c r="G165" s="38" t="str">
        <x:v>Standard</x:v>
      </x:c>
      <x:c r="H165" s="477" t="n">
        <x:f>'Seasons'!F21</x:f>
        <x:v>1000</x:v>
      </x:c>
      <x:c r="I165" s="60" t="n">
        <x:f>'Seasons'!G21</x:f>
        <x:v>0.01</x:v>
      </x:c>
      <x:c r="J165" s="12" t="n">
        <x:f>H165*I165</x:f>
        <x:v>10</x:v>
      </x:c>
      <x:c r="K165" s="60" t="n">
        <x:f>J165*'Seasons'!H21</x:f>
        <x:v>4</x:v>
      </x:c>
      <x:c r="L165" s="60" t="n">
        <x:f>J165*'Seasons'!I21</x:f>
        <x:v>2</x:v>
      </x:c>
      <x:c r="M165" s="60" t="n">
        <x:f>J165*IF(G165="Growth",'Summary'!$J$9,IF(G165="Standard",'Summary'!$J$10,NA()))</x:f>
        <x:v>1</x:v>
      </x:c>
      <x:c r="N165" s="12" t="n">
        <x:f>J165-SUM(K165:M165)</x:f>
        <x:v>3</x:v>
      </x:c>
      <x:c r="O165" s="477" t="n">
        <x:f>'Summary'!$J$21</x:f>
        <x:v>10</x:v>
      </x:c>
      <x:c r="P165" s="477" t="n">
        <x:f>'Summary'!$J$22</x:f>
        <x:v>100</x:v>
      </x:c>
      <x:c r="Q165" s="477" t="n">
        <x:f>'Summary'!$J$24</x:f>
        <x:v>2</x:v>
      </x:c>
      <x:c r="R165" s="482" t="n">
        <x:f>Q165/H165</x:f>
        <x:v>0.002</x:v>
      </x:c>
      <x:c r="S165" s="60" t="n">
        <x:f>Q165*'Summary'!$J$12</x:f>
        <x:v>0.02</x:v>
      </x:c>
    </x:row>
    <x:row r="166" ht="25" customHeight="1">
      <x:c r="C166" s="32" t="n">
        <x:v>161</x:v>
      </x:c>
      <x:c r="D166" s="32" t="n">
        <x:v>17</x:v>
      </x:c>
      <x:c r="E166" s="32" t="str">
        <x:v>Imperial Amethyst &amp; Plum</x:v>
      </x:c>
      <x:c r="F166" s="363" t="str">
        <x:v>#CC0033</x:v>
      </x:c>
      <x:c r="G166" s="38" t="str">
        <x:v>Growth</x:v>
      </x:c>
      <x:c r="H166" s="475" t="n">
        <x:f>'Seasons'!F22</x:f>
        <x:v>1000</x:v>
      </x:c>
      <x:c r="I166" s="35" t="n">
        <x:f>'Seasons'!G22</x:f>
        <x:v>0.01</x:v>
      </x:c>
      <x:c r="J166" s="37" t="n">
        <x:f>H166*I166</x:f>
        <x:v>10</x:v>
      </x:c>
      <x:c r="K166" s="35" t="n">
        <x:f>J166*'Seasons'!H22</x:f>
        <x:v>4</x:v>
      </x:c>
      <x:c r="L166" s="35" t="n">
        <x:f>J166*'Seasons'!I22</x:f>
        <x:v>2</x:v>
      </x:c>
      <x:c r="M166" s="35" t="n">
        <x:f>J166*IF(G166="Growth",'Summary'!$J$9,IF(G166="Standard",'Summary'!$J$10,NA()))</x:f>
        <x:v>2</x:v>
      </x:c>
      <x:c r="N166" s="37" t="n">
        <x:f>J166-SUM(K166:M166)</x:f>
        <x:v>2</x:v>
      </x:c>
      <x:c r="O166" s="475" t="n">
        <x:f>'Summary'!$J$21</x:f>
        <x:v>10</x:v>
      </x:c>
      <x:c r="P166" s="475" t="n">
        <x:f>'Summary'!$J$22</x:f>
        <x:v>100</x:v>
      </x:c>
      <x:c r="Q166" s="475" t="n">
        <x:f>'Summary'!$J$24</x:f>
        <x:v>2</x:v>
      </x:c>
      <x:c r="R166" s="481" t="n">
        <x:f>Q166/H166</x:f>
        <x:v>0.002</x:v>
      </x:c>
      <x:c r="S166" s="35" t="n">
        <x:f>Q166*'Summary'!$J$12</x:f>
        <x:v>0.02</x:v>
      </x:c>
    </x:row>
    <x:row r="167" ht="25" customHeight="1">
      <x:c r="C167" s="2" t="n">
        <x:v>162</x:v>
      </x:c>
      <x:c r="D167" s="2" t="n">
        <x:v>17</x:v>
      </x:c>
      <x:c r="E167" s="2" t="str">
        <x:v>Imperial Amethyst &amp; Plum</x:v>
      </x:c>
      <x:c r="F167" s="365" t="str">
        <x:v>#CC0066</x:v>
      </x:c>
      <x:c r="G167" s="38" t="str">
        <x:v>Growth</x:v>
      </x:c>
      <x:c r="H167" s="477" t="n">
        <x:f>'Seasons'!F22</x:f>
        <x:v>1000</x:v>
      </x:c>
      <x:c r="I167" s="60" t="n">
        <x:f>'Seasons'!G22</x:f>
        <x:v>0.01</x:v>
      </x:c>
      <x:c r="J167" s="12" t="n">
        <x:f>H167*I167</x:f>
        <x:v>10</x:v>
      </x:c>
      <x:c r="K167" s="60" t="n">
        <x:f>J167*'Seasons'!H22</x:f>
        <x:v>4</x:v>
      </x:c>
      <x:c r="L167" s="60" t="n">
        <x:f>J167*'Seasons'!I22</x:f>
        <x:v>2</x:v>
      </x:c>
      <x:c r="M167" s="60" t="n">
        <x:f>J167*IF(G167="Growth",'Summary'!$J$9,IF(G167="Standard",'Summary'!$J$10,NA()))</x:f>
        <x:v>2</x:v>
      </x:c>
      <x:c r="N167" s="12" t="n">
        <x:f>J167-SUM(K167:M167)</x:f>
        <x:v>2</x:v>
      </x:c>
      <x:c r="O167" s="477" t="n">
        <x:f>'Summary'!$J$21</x:f>
        <x:v>10</x:v>
      </x:c>
      <x:c r="P167" s="477" t="n">
        <x:f>'Summary'!$J$22</x:f>
        <x:v>100</x:v>
      </x:c>
      <x:c r="Q167" s="477" t="n">
        <x:f>'Summary'!$J$24</x:f>
        <x:v>2</x:v>
      </x:c>
      <x:c r="R167" s="482" t="n">
        <x:f>Q167/H167</x:f>
        <x:v>0.002</x:v>
      </x:c>
      <x:c r="S167" s="60" t="n">
        <x:f>Q167*'Summary'!$J$12</x:f>
        <x:v>0.02</x:v>
      </x:c>
    </x:row>
    <x:row r="168" ht="25" customHeight="1">
      <x:c r="C168" s="32" t="n">
        <x:v>163</x:v>
      </x:c>
      <x:c r="D168" s="32" t="n">
        <x:v>17</x:v>
      </x:c>
      <x:c r="E168" s="32" t="str">
        <x:v>Imperial Amethyst &amp; Plum</x:v>
      </x:c>
      <x:c r="F168" s="367" t="str">
        <x:v>#CC0099</x:v>
      </x:c>
      <x:c r="G168" s="38" t="str">
        <x:v>Standard</x:v>
      </x:c>
      <x:c r="H168" s="475" t="n">
        <x:f>'Seasons'!F22</x:f>
        <x:v>1000</x:v>
      </x:c>
      <x:c r="I168" s="35" t="n">
        <x:f>'Seasons'!G22</x:f>
        <x:v>0.01</x:v>
      </x:c>
      <x:c r="J168" s="37" t="n">
        <x:f>H168*I168</x:f>
        <x:v>10</x:v>
      </x:c>
      <x:c r="K168" s="35" t="n">
        <x:f>J168*'Seasons'!H22</x:f>
        <x:v>4</x:v>
      </x:c>
      <x:c r="L168" s="35" t="n">
        <x:f>J168*'Seasons'!I22</x:f>
        <x:v>2</x:v>
      </x:c>
      <x:c r="M168" s="35" t="n">
        <x:f>J168*IF(G168="Growth",'Summary'!$J$9,IF(G168="Standard",'Summary'!$J$10,NA()))</x:f>
        <x:v>1</x:v>
      </x:c>
      <x:c r="N168" s="37" t="n">
        <x:f>J168-SUM(K168:M168)</x:f>
        <x:v>3</x:v>
      </x:c>
      <x:c r="O168" s="475" t="n">
        <x:f>'Summary'!$J$21</x:f>
        <x:v>10</x:v>
      </x:c>
      <x:c r="P168" s="475" t="n">
        <x:f>'Summary'!$J$22</x:f>
        <x:v>100</x:v>
      </x:c>
      <x:c r="Q168" s="475" t="n">
        <x:f>'Summary'!$J$24</x:f>
        <x:v>2</x:v>
      </x:c>
      <x:c r="R168" s="481" t="n">
        <x:f>Q168/H168</x:f>
        <x:v>0.002</x:v>
      </x:c>
      <x:c r="S168" s="35" t="n">
        <x:f>Q168*'Summary'!$J$12</x:f>
        <x:v>0.02</x:v>
      </x:c>
    </x:row>
    <x:row r="169" ht="25" customHeight="1">
      <x:c r="C169" s="2" t="n">
        <x:v>164</x:v>
      </x:c>
      <x:c r="D169" s="2" t="n">
        <x:v>17</x:v>
      </x:c>
      <x:c r="E169" s="2" t="str">
        <x:v>Imperial Amethyst &amp; Plum</x:v>
      </x:c>
      <x:c r="F169" s="369" t="str">
        <x:v>#CC00CC</x:v>
      </x:c>
      <x:c r="G169" s="38" t="str">
        <x:v>Standard</x:v>
      </x:c>
      <x:c r="H169" s="477" t="n">
        <x:f>'Seasons'!F22</x:f>
        <x:v>1000</x:v>
      </x:c>
      <x:c r="I169" s="60" t="n">
        <x:f>'Seasons'!G22</x:f>
        <x:v>0.01</x:v>
      </x:c>
      <x:c r="J169" s="12" t="n">
        <x:f>H169*I169</x:f>
        <x:v>10</x:v>
      </x:c>
      <x:c r="K169" s="60" t="n">
        <x:f>J169*'Seasons'!H22</x:f>
        <x:v>4</x:v>
      </x:c>
      <x:c r="L169" s="60" t="n">
        <x:f>J169*'Seasons'!I22</x:f>
        <x:v>2</x:v>
      </x:c>
      <x:c r="M169" s="60" t="n">
        <x:f>J169*IF(G169="Growth",'Summary'!$J$9,IF(G169="Standard",'Summary'!$J$10,NA()))</x:f>
        <x:v>1</x:v>
      </x:c>
      <x:c r="N169" s="12" t="n">
        <x:f>J169-SUM(K169:M169)</x:f>
        <x:v>3</x:v>
      </x:c>
      <x:c r="O169" s="477" t="n">
        <x:f>'Summary'!$J$21</x:f>
        <x:v>10</x:v>
      </x:c>
      <x:c r="P169" s="477" t="n">
        <x:f>'Summary'!$J$22</x:f>
        <x:v>100</x:v>
      </x:c>
      <x:c r="Q169" s="477" t="n">
        <x:f>'Summary'!$J$24</x:f>
        <x:v>2</x:v>
      </x:c>
      <x:c r="R169" s="482" t="n">
        <x:f>Q169/H169</x:f>
        <x:v>0.002</x:v>
      </x:c>
      <x:c r="S169" s="60" t="n">
        <x:f>Q169*'Summary'!$J$12</x:f>
        <x:v>0.02</x:v>
      </x:c>
    </x:row>
    <x:row r="170" ht="25" customHeight="1">
      <x:c r="C170" s="32" t="n">
        <x:v>165</x:v>
      </x:c>
      <x:c r="D170" s="32" t="n">
        <x:v>17</x:v>
      </x:c>
      <x:c r="E170" s="32" t="str">
        <x:v>Imperial Amethyst &amp; Plum</x:v>
      </x:c>
      <x:c r="F170" s="371" t="str">
        <x:v>#CC00FF</x:v>
      </x:c>
      <x:c r="G170" s="38" t="str">
        <x:v>Standard</x:v>
      </x:c>
      <x:c r="H170" s="475" t="n">
        <x:f>'Seasons'!F22</x:f>
        <x:v>1000</x:v>
      </x:c>
      <x:c r="I170" s="35" t="n">
        <x:f>'Seasons'!G22</x:f>
        <x:v>0.01</x:v>
      </x:c>
      <x:c r="J170" s="37" t="n">
        <x:f>H170*I170</x:f>
        <x:v>10</x:v>
      </x:c>
      <x:c r="K170" s="35" t="n">
        <x:f>J170*'Seasons'!H22</x:f>
        <x:v>4</x:v>
      </x:c>
      <x:c r="L170" s="35" t="n">
        <x:f>J170*'Seasons'!I22</x:f>
        <x:v>2</x:v>
      </x:c>
      <x:c r="M170" s="35" t="n">
        <x:f>J170*IF(G170="Growth",'Summary'!$J$9,IF(G170="Standard",'Summary'!$J$10,NA()))</x:f>
        <x:v>1</x:v>
      </x:c>
      <x:c r="N170" s="37" t="n">
        <x:f>J170-SUM(K170:M170)</x:f>
        <x:v>3</x:v>
      </x:c>
      <x:c r="O170" s="475" t="n">
        <x:f>'Summary'!$J$21</x:f>
        <x:v>10</x:v>
      </x:c>
      <x:c r="P170" s="475" t="n">
        <x:f>'Summary'!$J$22</x:f>
        <x:v>100</x:v>
      </x:c>
      <x:c r="Q170" s="475" t="n">
        <x:f>'Summary'!$J$24</x:f>
        <x:v>2</x:v>
      </x:c>
      <x:c r="R170" s="481" t="n">
        <x:f>Q170/H170</x:f>
        <x:v>0.002</x:v>
      </x:c>
      <x:c r="S170" s="35" t="n">
        <x:f>Q170*'Summary'!$J$12</x:f>
        <x:v>0.02</x:v>
      </x:c>
    </x:row>
    <x:row r="171" ht="25" customHeight="1">
      <x:c r="C171" s="2" t="n">
        <x:v>166</x:v>
      </x:c>
      <x:c r="D171" s="2" t="n">
        <x:v>17</x:v>
      </x:c>
      <x:c r="E171" s="2" t="str">
        <x:v>Imperial Amethyst &amp; Plum</x:v>
      </x:c>
      <x:c r="F171" s="373" t="str">
        <x:v>#663366</x:v>
      </x:c>
      <x:c r="G171" s="38" t="str">
        <x:v>Standard</x:v>
      </x:c>
      <x:c r="H171" s="477" t="n">
        <x:f>'Seasons'!F22</x:f>
        <x:v>1000</x:v>
      </x:c>
      <x:c r="I171" s="60" t="n">
        <x:f>'Seasons'!G22</x:f>
        <x:v>0.01</x:v>
      </x:c>
      <x:c r="J171" s="12" t="n">
        <x:f>H171*I171</x:f>
        <x:v>10</x:v>
      </x:c>
      <x:c r="K171" s="60" t="n">
        <x:f>J171*'Seasons'!H22</x:f>
        <x:v>4</x:v>
      </x:c>
      <x:c r="L171" s="60" t="n">
        <x:f>J171*'Seasons'!I22</x:f>
        <x:v>2</x:v>
      </x:c>
      <x:c r="M171" s="60" t="n">
        <x:f>J171*IF(G171="Growth",'Summary'!$J$9,IF(G171="Standard",'Summary'!$J$10,NA()))</x:f>
        <x:v>1</x:v>
      </x:c>
      <x:c r="N171" s="12" t="n">
        <x:f>J171-SUM(K171:M171)</x:f>
        <x:v>3</x:v>
      </x:c>
      <x:c r="O171" s="477" t="n">
        <x:f>'Summary'!$J$21</x:f>
        <x:v>10</x:v>
      </x:c>
      <x:c r="P171" s="477" t="n">
        <x:f>'Summary'!$J$22</x:f>
        <x:v>100</x:v>
      </x:c>
      <x:c r="Q171" s="477" t="n">
        <x:f>'Summary'!$J$24</x:f>
        <x:v>2</x:v>
      </x:c>
      <x:c r="R171" s="482" t="n">
        <x:f>Q171/H171</x:f>
        <x:v>0.002</x:v>
      </x:c>
      <x:c r="S171" s="60" t="n">
        <x:f>Q171*'Summary'!$J$12</x:f>
        <x:v>0.02</x:v>
      </x:c>
    </x:row>
    <x:row r="172" ht="25" customHeight="1">
      <x:c r="C172" s="32" t="n">
        <x:v>167</x:v>
      </x:c>
      <x:c r="D172" s="32" t="n">
        <x:v>17</x:v>
      </x:c>
      <x:c r="E172" s="32" t="str">
        <x:v>Imperial Amethyst &amp; Plum</x:v>
      </x:c>
      <x:c r="F172" s="375" t="str">
        <x:v>#663399</x:v>
      </x:c>
      <x:c r="G172" s="38" t="str">
        <x:v>Standard</x:v>
      </x:c>
      <x:c r="H172" s="475" t="n">
        <x:f>'Seasons'!F22</x:f>
        <x:v>1000</x:v>
      </x:c>
      <x:c r="I172" s="35" t="n">
        <x:f>'Seasons'!G22</x:f>
        <x:v>0.01</x:v>
      </x:c>
      <x:c r="J172" s="37" t="n">
        <x:f>H172*I172</x:f>
        <x:v>10</x:v>
      </x:c>
      <x:c r="K172" s="35" t="n">
        <x:f>J172*'Seasons'!H22</x:f>
        <x:v>4</x:v>
      </x:c>
      <x:c r="L172" s="35" t="n">
        <x:f>J172*'Seasons'!I22</x:f>
        <x:v>2</x:v>
      </x:c>
      <x:c r="M172" s="35" t="n">
        <x:f>J172*IF(G172="Growth",'Summary'!$J$9,IF(G172="Standard",'Summary'!$J$10,NA()))</x:f>
        <x:v>1</x:v>
      </x:c>
      <x:c r="N172" s="37" t="n">
        <x:f>J172-SUM(K172:M172)</x:f>
        <x:v>3</x:v>
      </x:c>
      <x:c r="O172" s="475" t="n">
        <x:f>'Summary'!$J$21</x:f>
        <x:v>10</x:v>
      </x:c>
      <x:c r="P172" s="475" t="n">
        <x:f>'Summary'!$J$22</x:f>
        <x:v>100</x:v>
      </x:c>
      <x:c r="Q172" s="475" t="n">
        <x:f>'Summary'!$J$24</x:f>
        <x:v>2</x:v>
      </x:c>
      <x:c r="R172" s="481" t="n">
        <x:f>Q172/H172</x:f>
        <x:v>0.002</x:v>
      </x:c>
      <x:c r="S172" s="35" t="n">
        <x:f>Q172*'Summary'!$J$12</x:f>
        <x:v>0.02</x:v>
      </x:c>
    </x:row>
    <x:row r="173" ht="25" customHeight="1">
      <x:c r="C173" s="2" t="n">
        <x:v>168</x:v>
      </x:c>
      <x:c r="D173" s="2" t="n">
        <x:v>17</x:v>
      </x:c>
      <x:c r="E173" s="2" t="str">
        <x:v>Imperial Amethyst &amp; Plum</x:v>
      </x:c>
      <x:c r="F173" s="377" t="str">
        <x:v>#6633CC</x:v>
      </x:c>
      <x:c r="G173" s="38" t="str">
        <x:v>Standard</x:v>
      </x:c>
      <x:c r="H173" s="477" t="n">
        <x:f>'Seasons'!F22</x:f>
        <x:v>1000</x:v>
      </x:c>
      <x:c r="I173" s="60" t="n">
        <x:f>'Seasons'!G22</x:f>
        <x:v>0.01</x:v>
      </x:c>
      <x:c r="J173" s="12" t="n">
        <x:f>H173*I173</x:f>
        <x:v>10</x:v>
      </x:c>
      <x:c r="K173" s="60" t="n">
        <x:f>J173*'Seasons'!H22</x:f>
        <x:v>4</x:v>
      </x:c>
      <x:c r="L173" s="60" t="n">
        <x:f>J173*'Seasons'!I22</x:f>
        <x:v>2</x:v>
      </x:c>
      <x:c r="M173" s="60" t="n">
        <x:f>J173*IF(G173="Growth",'Summary'!$J$9,IF(G173="Standard",'Summary'!$J$10,NA()))</x:f>
        <x:v>1</x:v>
      </x:c>
      <x:c r="N173" s="12" t="n">
        <x:f>J173-SUM(K173:M173)</x:f>
        <x:v>3</x:v>
      </x:c>
      <x:c r="O173" s="477" t="n">
        <x:f>'Summary'!$J$21</x:f>
        <x:v>10</x:v>
      </x:c>
      <x:c r="P173" s="477" t="n">
        <x:f>'Summary'!$J$22</x:f>
        <x:v>100</x:v>
      </x:c>
      <x:c r="Q173" s="477" t="n">
        <x:f>'Summary'!$J$24</x:f>
        <x:v>2</x:v>
      </x:c>
      <x:c r="R173" s="482" t="n">
        <x:f>Q173/H173</x:f>
        <x:v>0.002</x:v>
      </x:c>
      <x:c r="S173" s="60" t="n">
        <x:f>Q173*'Summary'!$J$12</x:f>
        <x:v>0.02</x:v>
      </x:c>
    </x:row>
    <x:row r="174" ht="25" customHeight="1">
      <x:c r="C174" s="32" t="n">
        <x:v>169</x:v>
      </x:c>
      <x:c r="D174" s="32" t="n">
        <x:v>17</x:v>
      </x:c>
      <x:c r="E174" s="32" t="str">
        <x:v>Imperial Amethyst &amp; Plum</x:v>
      </x:c>
      <x:c r="F174" s="379" t="str">
        <x:v>#6633FF</x:v>
      </x:c>
      <x:c r="G174" s="38" t="str">
        <x:v>Standard</x:v>
      </x:c>
      <x:c r="H174" s="475" t="n">
        <x:f>'Seasons'!F22</x:f>
        <x:v>1000</x:v>
      </x:c>
      <x:c r="I174" s="35" t="n">
        <x:f>'Seasons'!G22</x:f>
        <x:v>0.01</x:v>
      </x:c>
      <x:c r="J174" s="37" t="n">
        <x:f>H174*I174</x:f>
        <x:v>10</x:v>
      </x:c>
      <x:c r="K174" s="35" t="n">
        <x:f>J174*'Seasons'!H22</x:f>
        <x:v>4</x:v>
      </x:c>
      <x:c r="L174" s="35" t="n">
        <x:f>J174*'Seasons'!I22</x:f>
        <x:v>2</x:v>
      </x:c>
      <x:c r="M174" s="35" t="n">
        <x:f>J174*IF(G174="Growth",'Summary'!$J$9,IF(G174="Standard",'Summary'!$J$10,NA()))</x:f>
        <x:v>1</x:v>
      </x:c>
      <x:c r="N174" s="37" t="n">
        <x:f>J174-SUM(K174:M174)</x:f>
        <x:v>3</x:v>
      </x:c>
      <x:c r="O174" s="475" t="n">
        <x:f>'Summary'!$J$21</x:f>
        <x:v>10</x:v>
      </x:c>
      <x:c r="P174" s="475" t="n">
        <x:f>'Summary'!$J$22</x:f>
        <x:v>100</x:v>
      </x:c>
      <x:c r="Q174" s="475" t="n">
        <x:f>'Summary'!$J$24</x:f>
        <x:v>2</x:v>
      </x:c>
      <x:c r="R174" s="481" t="n">
        <x:f>Q174/H174</x:f>
        <x:v>0.002</x:v>
      </x:c>
      <x:c r="S174" s="35" t="n">
        <x:f>Q174*'Summary'!$J$12</x:f>
        <x:v>0.02</x:v>
      </x:c>
    </x:row>
    <x:row r="175" ht="25" customHeight="1">
      <x:c r="C175" s="2" t="n">
        <x:v>170</x:v>
      </x:c>
      <x:c r="D175" s="2" t="n">
        <x:v>17</x:v>
      </x:c>
      <x:c r="E175" s="2" t="str">
        <x:v>Imperial Amethyst &amp; Plum</x:v>
      </x:c>
      <x:c r="F175" s="381" t="str">
        <x:v>#993366</x:v>
      </x:c>
      <x:c r="G175" s="38" t="str">
        <x:v>Standard</x:v>
      </x:c>
      <x:c r="H175" s="477" t="n">
        <x:f>'Seasons'!F22</x:f>
        <x:v>1000</x:v>
      </x:c>
      <x:c r="I175" s="60" t="n">
        <x:f>'Seasons'!G22</x:f>
        <x:v>0.01</x:v>
      </x:c>
      <x:c r="J175" s="12" t="n">
        <x:f>H175*I175</x:f>
        <x:v>10</x:v>
      </x:c>
      <x:c r="K175" s="60" t="n">
        <x:f>J175*'Seasons'!H22</x:f>
        <x:v>4</x:v>
      </x:c>
      <x:c r="L175" s="60" t="n">
        <x:f>J175*'Seasons'!I22</x:f>
        <x:v>2</x:v>
      </x:c>
      <x:c r="M175" s="60" t="n">
        <x:f>J175*IF(G175="Growth",'Summary'!$J$9,IF(G175="Standard",'Summary'!$J$10,NA()))</x:f>
        <x:v>1</x:v>
      </x:c>
      <x:c r="N175" s="12" t="n">
        <x:f>J175-SUM(K175:M175)</x:f>
        <x:v>3</x:v>
      </x:c>
      <x:c r="O175" s="477" t="n">
        <x:f>'Summary'!$J$21</x:f>
        <x:v>10</x:v>
      </x:c>
      <x:c r="P175" s="477" t="n">
        <x:f>'Summary'!$J$22</x:f>
        <x:v>100</x:v>
      </x:c>
      <x:c r="Q175" s="477" t="n">
        <x:f>'Summary'!$J$24</x:f>
        <x:v>2</x:v>
      </x:c>
      <x:c r="R175" s="482" t="n">
        <x:f>Q175/H175</x:f>
        <x:v>0.002</x:v>
      </x:c>
      <x:c r="S175" s="60" t="n">
        <x:f>Q175*'Summary'!$J$12</x:f>
        <x:v>0.02</x:v>
      </x:c>
    </x:row>
    <x:row r="176" ht="25" customHeight="1">
      <x:c r="C176" s="32" t="n">
        <x:v>171</x:v>
      </x:c>
      <x:c r="D176" s="32" t="n">
        <x:v>18</x:v>
      </x:c>
      <x:c r="E176" s="32" t="str">
        <x:v>Orchid &amp; Wild Berry</x:v>
      </x:c>
      <x:c r="F176" s="383" t="str">
        <x:v>#993399</x:v>
      </x:c>
      <x:c r="G176" s="38" t="str">
        <x:v>Growth</x:v>
      </x:c>
      <x:c r="H176" s="475" t="n">
        <x:f>'Seasons'!F23</x:f>
        <x:v>1000</x:v>
      </x:c>
      <x:c r="I176" s="35" t="n">
        <x:f>'Seasons'!G23</x:f>
        <x:v>0.01</x:v>
      </x:c>
      <x:c r="J176" s="37" t="n">
        <x:f>H176*I176</x:f>
        <x:v>10</x:v>
      </x:c>
      <x:c r="K176" s="35" t="n">
        <x:f>J176*'Seasons'!H23</x:f>
        <x:v>4</x:v>
      </x:c>
      <x:c r="L176" s="35" t="n">
        <x:f>J176*'Seasons'!I23</x:f>
        <x:v>2</x:v>
      </x:c>
      <x:c r="M176" s="35" t="n">
        <x:f>J176*IF(G176="Growth",'Summary'!$J$9,IF(G176="Standard",'Summary'!$J$10,NA()))</x:f>
        <x:v>2</x:v>
      </x:c>
      <x:c r="N176" s="37" t="n">
        <x:f>J176-SUM(K176:M176)</x:f>
        <x:v>2</x:v>
      </x:c>
      <x:c r="O176" s="475" t="n">
        <x:f>'Summary'!$J$21</x:f>
        <x:v>10</x:v>
      </x:c>
      <x:c r="P176" s="475" t="n">
        <x:f>'Summary'!$J$22</x:f>
        <x:v>100</x:v>
      </x:c>
      <x:c r="Q176" s="475" t="n">
        <x:f>'Summary'!$J$24</x:f>
        <x:v>2</x:v>
      </x:c>
      <x:c r="R176" s="481" t="n">
        <x:f>Q176/H176</x:f>
        <x:v>0.002</x:v>
      </x:c>
      <x:c r="S176" s="35" t="n">
        <x:f>Q176*'Summary'!$J$12</x:f>
        <x:v>0.02</x:v>
      </x:c>
    </x:row>
    <x:row r="177" ht="25" customHeight="1">
      <x:c r="C177" s="2" t="n">
        <x:v>172</x:v>
      </x:c>
      <x:c r="D177" s="2" t="n">
        <x:v>18</x:v>
      </x:c>
      <x:c r="E177" s="2" t="str">
        <x:v>Orchid &amp; Wild Berry</x:v>
      </x:c>
      <x:c r="F177" s="385" t="str">
        <x:v>#9933CC</x:v>
      </x:c>
      <x:c r="G177" s="38" t="str">
        <x:v>Growth</x:v>
      </x:c>
      <x:c r="H177" s="477" t="n">
        <x:f>'Seasons'!F23</x:f>
        <x:v>1000</x:v>
      </x:c>
      <x:c r="I177" s="60" t="n">
        <x:f>'Seasons'!G23</x:f>
        <x:v>0.01</x:v>
      </x:c>
      <x:c r="J177" s="12" t="n">
        <x:f>H177*I177</x:f>
        <x:v>10</x:v>
      </x:c>
      <x:c r="K177" s="60" t="n">
        <x:f>J177*'Seasons'!H23</x:f>
        <x:v>4</x:v>
      </x:c>
      <x:c r="L177" s="60" t="n">
        <x:f>J177*'Seasons'!I23</x:f>
        <x:v>2</x:v>
      </x:c>
      <x:c r="M177" s="60" t="n">
        <x:f>J177*IF(G177="Growth",'Summary'!$J$9,IF(G177="Standard",'Summary'!$J$10,NA()))</x:f>
        <x:v>2</x:v>
      </x:c>
      <x:c r="N177" s="12" t="n">
        <x:f>J177-SUM(K177:M177)</x:f>
        <x:v>2</x:v>
      </x:c>
      <x:c r="O177" s="477" t="n">
        <x:f>'Summary'!$J$21</x:f>
        <x:v>10</x:v>
      </x:c>
      <x:c r="P177" s="477" t="n">
        <x:f>'Summary'!$J$22</x:f>
        <x:v>100</x:v>
      </x:c>
      <x:c r="Q177" s="477" t="n">
        <x:f>'Summary'!$J$24</x:f>
        <x:v>2</x:v>
      </x:c>
      <x:c r="R177" s="482" t="n">
        <x:f>Q177/H177</x:f>
        <x:v>0.002</x:v>
      </x:c>
      <x:c r="S177" s="60" t="n">
        <x:f>Q177*'Summary'!$J$12</x:f>
        <x:v>0.02</x:v>
      </x:c>
    </x:row>
    <x:row r="178" ht="25" customHeight="1">
      <x:c r="C178" s="32" t="n">
        <x:v>173</x:v>
      </x:c>
      <x:c r="D178" s="32" t="n">
        <x:v>18</x:v>
      </x:c>
      <x:c r="E178" s="32" t="str">
        <x:v>Orchid &amp; Wild Berry</x:v>
      </x:c>
      <x:c r="F178" s="387" t="str">
        <x:v>#9933FF</x:v>
      </x:c>
      <x:c r="G178" s="38" t="str">
        <x:v>Standard</x:v>
      </x:c>
      <x:c r="H178" s="475" t="n">
        <x:f>'Seasons'!F23</x:f>
        <x:v>1000</x:v>
      </x:c>
      <x:c r="I178" s="35" t="n">
        <x:f>'Seasons'!G23</x:f>
        <x:v>0.01</x:v>
      </x:c>
      <x:c r="J178" s="37" t="n">
        <x:f>H178*I178</x:f>
        <x:v>10</x:v>
      </x:c>
      <x:c r="K178" s="35" t="n">
        <x:f>J178*'Seasons'!H23</x:f>
        <x:v>4</x:v>
      </x:c>
      <x:c r="L178" s="35" t="n">
        <x:f>J178*'Seasons'!I23</x:f>
        <x:v>2</x:v>
      </x:c>
      <x:c r="M178" s="35" t="n">
        <x:f>J178*IF(G178="Growth",'Summary'!$J$9,IF(G178="Standard",'Summary'!$J$10,NA()))</x:f>
        <x:v>1</x:v>
      </x:c>
      <x:c r="N178" s="37" t="n">
        <x:f>J178-SUM(K178:M178)</x:f>
        <x:v>3</x:v>
      </x:c>
      <x:c r="O178" s="475" t="n">
        <x:f>'Summary'!$J$21</x:f>
        <x:v>10</x:v>
      </x:c>
      <x:c r="P178" s="475" t="n">
        <x:f>'Summary'!$J$22</x:f>
        <x:v>100</x:v>
      </x:c>
      <x:c r="Q178" s="475" t="n">
        <x:f>'Summary'!$J$24</x:f>
        <x:v>2</x:v>
      </x:c>
      <x:c r="R178" s="481" t="n">
        <x:f>Q178/H178</x:f>
        <x:v>0.002</x:v>
      </x:c>
      <x:c r="S178" s="35" t="n">
        <x:f>Q178*'Summary'!$J$12</x:f>
        <x:v>0.02</x:v>
      </x:c>
    </x:row>
    <x:row r="179" ht="25" customHeight="1">
      <x:c r="C179" s="2" t="n">
        <x:v>174</x:v>
      </x:c>
      <x:c r="D179" s="2" t="n">
        <x:v>18</x:v>
      </x:c>
      <x:c r="E179" s="2" t="str">
        <x:v>Orchid &amp; Wild Berry</x:v>
      </x:c>
      <x:c r="F179" s="389" t="str">
        <x:v>#CC3366</x:v>
      </x:c>
      <x:c r="G179" s="38" t="str">
        <x:v>Standard</x:v>
      </x:c>
      <x:c r="H179" s="477" t="n">
        <x:f>'Seasons'!F23</x:f>
        <x:v>1000</x:v>
      </x:c>
      <x:c r="I179" s="60" t="n">
        <x:f>'Seasons'!G23</x:f>
        <x:v>0.01</x:v>
      </x:c>
      <x:c r="J179" s="12" t="n">
        <x:f>H179*I179</x:f>
        <x:v>10</x:v>
      </x:c>
      <x:c r="K179" s="60" t="n">
        <x:f>J179*'Seasons'!H23</x:f>
        <x:v>4</x:v>
      </x:c>
      <x:c r="L179" s="60" t="n">
        <x:f>J179*'Seasons'!I23</x:f>
        <x:v>2</x:v>
      </x:c>
      <x:c r="M179" s="60" t="n">
        <x:f>J179*IF(G179="Growth",'Summary'!$J$9,IF(G179="Standard",'Summary'!$J$10,NA()))</x:f>
        <x:v>1</x:v>
      </x:c>
      <x:c r="N179" s="12" t="n">
        <x:f>J179-SUM(K179:M179)</x:f>
        <x:v>3</x:v>
      </x:c>
      <x:c r="O179" s="477" t="n">
        <x:f>'Summary'!$J$21</x:f>
        <x:v>10</x:v>
      </x:c>
      <x:c r="P179" s="477" t="n">
        <x:f>'Summary'!$J$22</x:f>
        <x:v>100</x:v>
      </x:c>
      <x:c r="Q179" s="477" t="n">
        <x:f>'Summary'!$J$24</x:f>
        <x:v>2</x:v>
      </x:c>
      <x:c r="R179" s="482" t="n">
        <x:f>Q179/H179</x:f>
        <x:v>0.002</x:v>
      </x:c>
      <x:c r="S179" s="60" t="n">
        <x:f>Q179*'Summary'!$J$12</x:f>
        <x:v>0.02</x:v>
      </x:c>
    </x:row>
    <x:row r="180" ht="25" customHeight="1">
      <x:c r="C180" s="32" t="n">
        <x:v>175</x:v>
      </x:c>
      <x:c r="D180" s="32" t="n">
        <x:v>18</x:v>
      </x:c>
      <x:c r="E180" s="32" t="str">
        <x:v>Orchid &amp; Wild Berry</x:v>
      </x:c>
      <x:c r="F180" s="391" t="str">
        <x:v>#CC3399</x:v>
      </x:c>
      <x:c r="G180" s="38" t="str">
        <x:v>Standard</x:v>
      </x:c>
      <x:c r="H180" s="475" t="n">
        <x:f>'Seasons'!F23</x:f>
        <x:v>1000</x:v>
      </x:c>
      <x:c r="I180" s="35" t="n">
        <x:f>'Seasons'!G23</x:f>
        <x:v>0.01</x:v>
      </x:c>
      <x:c r="J180" s="37" t="n">
        <x:f>H180*I180</x:f>
        <x:v>10</x:v>
      </x:c>
      <x:c r="K180" s="35" t="n">
        <x:f>J180*'Seasons'!H23</x:f>
        <x:v>4</x:v>
      </x:c>
      <x:c r="L180" s="35" t="n">
        <x:f>J180*'Seasons'!I23</x:f>
        <x:v>2</x:v>
      </x:c>
      <x:c r="M180" s="35" t="n">
        <x:f>J180*IF(G180="Growth",'Summary'!$J$9,IF(G180="Standard",'Summary'!$J$10,NA()))</x:f>
        <x:v>1</x:v>
      </x:c>
      <x:c r="N180" s="37" t="n">
        <x:f>J180-SUM(K180:M180)</x:f>
        <x:v>3</x:v>
      </x:c>
      <x:c r="O180" s="475" t="n">
        <x:f>'Summary'!$J$21</x:f>
        <x:v>10</x:v>
      </x:c>
      <x:c r="P180" s="475" t="n">
        <x:f>'Summary'!$J$22</x:f>
        <x:v>100</x:v>
      </x:c>
      <x:c r="Q180" s="475" t="n">
        <x:f>'Summary'!$J$24</x:f>
        <x:v>2</x:v>
      </x:c>
      <x:c r="R180" s="481" t="n">
        <x:f>Q180/H180</x:f>
        <x:v>0.002</x:v>
      </x:c>
      <x:c r="S180" s="35" t="n">
        <x:f>Q180*'Summary'!$J$12</x:f>
        <x:v>0.02</x:v>
      </x:c>
    </x:row>
    <x:row r="181" ht="25" customHeight="1">
      <x:c r="C181" s="2" t="n">
        <x:v>176</x:v>
      </x:c>
      <x:c r="D181" s="2" t="n">
        <x:v>18</x:v>
      </x:c>
      <x:c r="E181" s="2" t="str">
        <x:v>Orchid &amp; Wild Berry</x:v>
      </x:c>
      <x:c r="F181" s="393" t="str">
        <x:v>#CC33CC</x:v>
      </x:c>
      <x:c r="G181" s="38" t="str">
        <x:v>Standard</x:v>
      </x:c>
      <x:c r="H181" s="477" t="n">
        <x:f>'Seasons'!F23</x:f>
        <x:v>1000</x:v>
      </x:c>
      <x:c r="I181" s="60" t="n">
        <x:f>'Seasons'!G23</x:f>
        <x:v>0.01</x:v>
      </x:c>
      <x:c r="J181" s="12" t="n">
        <x:f>H181*I181</x:f>
        <x:v>10</x:v>
      </x:c>
      <x:c r="K181" s="60" t="n">
        <x:f>J181*'Seasons'!H23</x:f>
        <x:v>4</x:v>
      </x:c>
      <x:c r="L181" s="60" t="n">
        <x:f>J181*'Seasons'!I23</x:f>
        <x:v>2</x:v>
      </x:c>
      <x:c r="M181" s="60" t="n">
        <x:f>J181*IF(G181="Growth",'Summary'!$J$9,IF(G181="Standard",'Summary'!$J$10,NA()))</x:f>
        <x:v>1</x:v>
      </x:c>
      <x:c r="N181" s="12" t="n">
        <x:f>J181-SUM(K181:M181)</x:f>
        <x:v>3</x:v>
      </x:c>
      <x:c r="O181" s="477" t="n">
        <x:f>'Summary'!$J$21</x:f>
        <x:v>10</x:v>
      </x:c>
      <x:c r="P181" s="477" t="n">
        <x:f>'Summary'!$J$22</x:f>
        <x:v>100</x:v>
      </x:c>
      <x:c r="Q181" s="477" t="n">
        <x:f>'Summary'!$J$24</x:f>
        <x:v>2</x:v>
      </x:c>
      <x:c r="R181" s="482" t="n">
        <x:f>Q181/H181</x:f>
        <x:v>0.002</x:v>
      </x:c>
      <x:c r="S181" s="60" t="n">
        <x:f>Q181*'Summary'!$J$12</x:f>
        <x:v>0.02</x:v>
      </x:c>
    </x:row>
    <x:row r="182" ht="25" customHeight="1">
      <x:c r="C182" s="32" t="n">
        <x:v>177</x:v>
      </x:c>
      <x:c r="D182" s="32" t="n">
        <x:v>18</x:v>
      </x:c>
      <x:c r="E182" s="32" t="str">
        <x:v>Orchid &amp; Wild Berry</x:v>
      </x:c>
      <x:c r="F182" s="395" t="str">
        <x:v>#CC33FF</x:v>
      </x:c>
      <x:c r="G182" s="38" t="str">
        <x:v>Standard</x:v>
      </x:c>
      <x:c r="H182" s="475" t="n">
        <x:f>'Seasons'!F23</x:f>
        <x:v>1000</x:v>
      </x:c>
      <x:c r="I182" s="35" t="n">
        <x:f>'Seasons'!G23</x:f>
        <x:v>0.01</x:v>
      </x:c>
      <x:c r="J182" s="37" t="n">
        <x:f>H182*I182</x:f>
        <x:v>10</x:v>
      </x:c>
      <x:c r="K182" s="35" t="n">
        <x:f>J182*'Seasons'!H23</x:f>
        <x:v>4</x:v>
      </x:c>
      <x:c r="L182" s="35" t="n">
        <x:f>J182*'Seasons'!I23</x:f>
        <x:v>2</x:v>
      </x:c>
      <x:c r="M182" s="35" t="n">
        <x:f>J182*IF(G182="Growth",'Summary'!$J$9,IF(G182="Standard",'Summary'!$J$10,NA()))</x:f>
        <x:v>1</x:v>
      </x:c>
      <x:c r="N182" s="37" t="n">
        <x:f>J182-SUM(K182:M182)</x:f>
        <x:v>3</x:v>
      </x:c>
      <x:c r="O182" s="475" t="n">
        <x:f>'Summary'!$J$21</x:f>
        <x:v>10</x:v>
      </x:c>
      <x:c r="P182" s="475" t="n">
        <x:f>'Summary'!$J$22</x:f>
        <x:v>100</x:v>
      </x:c>
      <x:c r="Q182" s="475" t="n">
        <x:f>'Summary'!$J$24</x:f>
        <x:v>2</x:v>
      </x:c>
      <x:c r="R182" s="481" t="n">
        <x:f>Q182/H182</x:f>
        <x:v>0.002</x:v>
      </x:c>
      <x:c r="S182" s="35" t="n">
        <x:f>Q182*'Summary'!$J$12</x:f>
        <x:v>0.02</x:v>
      </x:c>
    </x:row>
    <x:row r="183" ht="25" customHeight="1">
      <x:c r="C183" s="2" t="n">
        <x:v>178</x:v>
      </x:c>
      <x:c r="D183" s="2" t="n">
        <x:v>18</x:v>
      </x:c>
      <x:c r="E183" s="2" t="str">
        <x:v>Orchid &amp; Wild Berry</x:v>
      </x:c>
      <x:c r="F183" s="397" t="str">
        <x:v>#996699</x:v>
      </x:c>
      <x:c r="G183" s="38" t="str">
        <x:v>Standard</x:v>
      </x:c>
      <x:c r="H183" s="477" t="n">
        <x:f>'Seasons'!F23</x:f>
        <x:v>1000</x:v>
      </x:c>
      <x:c r="I183" s="60" t="n">
        <x:f>'Seasons'!G23</x:f>
        <x:v>0.01</x:v>
      </x:c>
      <x:c r="J183" s="12" t="n">
        <x:f>H183*I183</x:f>
        <x:v>10</x:v>
      </x:c>
      <x:c r="K183" s="60" t="n">
        <x:f>J183*'Seasons'!H23</x:f>
        <x:v>4</x:v>
      </x:c>
      <x:c r="L183" s="60" t="n">
        <x:f>J183*'Seasons'!I23</x:f>
        <x:v>2</x:v>
      </x:c>
      <x:c r="M183" s="60" t="n">
        <x:f>J183*IF(G183="Growth",'Summary'!$J$9,IF(G183="Standard",'Summary'!$J$10,NA()))</x:f>
        <x:v>1</x:v>
      </x:c>
      <x:c r="N183" s="12" t="n">
        <x:f>J183-SUM(K183:M183)</x:f>
        <x:v>3</x:v>
      </x:c>
      <x:c r="O183" s="477" t="n">
        <x:f>'Summary'!$J$21</x:f>
        <x:v>10</x:v>
      </x:c>
      <x:c r="P183" s="477" t="n">
        <x:f>'Summary'!$J$22</x:f>
        <x:v>100</x:v>
      </x:c>
      <x:c r="Q183" s="477" t="n">
        <x:f>'Summary'!$J$24</x:f>
        <x:v>2</x:v>
      </x:c>
      <x:c r="R183" s="482" t="n">
        <x:f>Q183/H183</x:f>
        <x:v>0.002</x:v>
      </x:c>
      <x:c r="S183" s="60" t="n">
        <x:f>Q183*'Summary'!$J$12</x:f>
        <x:v>0.02</x:v>
      </x:c>
    </x:row>
    <x:row r="184" ht="25" customHeight="1">
      <x:c r="C184" s="32" t="n">
        <x:v>179</x:v>
      </x:c>
      <x:c r="D184" s="32" t="n">
        <x:v>18</x:v>
      </x:c>
      <x:c r="E184" s="32" t="str">
        <x:v>Orchid &amp; Wild Berry</x:v>
      </x:c>
      <x:c r="F184" s="399" t="str">
        <x:v>#9966CC</x:v>
      </x:c>
      <x:c r="G184" s="38" t="str">
        <x:v>Standard</x:v>
      </x:c>
      <x:c r="H184" s="475" t="n">
        <x:f>'Seasons'!F23</x:f>
        <x:v>1000</x:v>
      </x:c>
      <x:c r="I184" s="35" t="n">
        <x:f>'Seasons'!G23</x:f>
        <x:v>0.01</x:v>
      </x:c>
      <x:c r="J184" s="37" t="n">
        <x:f>H184*I184</x:f>
        <x:v>10</x:v>
      </x:c>
      <x:c r="K184" s="35" t="n">
        <x:f>J184*'Seasons'!H23</x:f>
        <x:v>4</x:v>
      </x:c>
      <x:c r="L184" s="35" t="n">
        <x:f>J184*'Seasons'!I23</x:f>
        <x:v>2</x:v>
      </x:c>
      <x:c r="M184" s="35" t="n">
        <x:f>J184*IF(G184="Growth",'Summary'!$J$9,IF(G184="Standard",'Summary'!$J$10,NA()))</x:f>
        <x:v>1</x:v>
      </x:c>
      <x:c r="N184" s="37" t="n">
        <x:f>J184-SUM(K184:M184)</x:f>
        <x:v>3</x:v>
      </x:c>
      <x:c r="O184" s="475" t="n">
        <x:f>'Summary'!$J$21</x:f>
        <x:v>10</x:v>
      </x:c>
      <x:c r="P184" s="475" t="n">
        <x:f>'Summary'!$J$22</x:f>
        <x:v>100</x:v>
      </x:c>
      <x:c r="Q184" s="475" t="n">
        <x:f>'Summary'!$J$24</x:f>
        <x:v>2</x:v>
      </x:c>
      <x:c r="R184" s="481" t="n">
        <x:f>Q184/H184</x:f>
        <x:v>0.002</x:v>
      </x:c>
      <x:c r="S184" s="35" t="n">
        <x:f>Q184*'Summary'!$J$12</x:f>
        <x:v>0.02</x:v>
      </x:c>
    </x:row>
    <x:row r="185" ht="25" customHeight="1">
      <x:c r="C185" s="2" t="n">
        <x:v>180</x:v>
      </x:c>
      <x:c r="D185" s="2" t="n">
        <x:v>18</x:v>
      </x:c>
      <x:c r="E185" s="2" t="str">
        <x:v>Orchid &amp; Wild Berry</x:v>
      </x:c>
      <x:c r="F185" s="401" t="str">
        <x:v>#9966FF</x:v>
      </x:c>
      <x:c r="G185" s="38" t="str">
        <x:v>Standard</x:v>
      </x:c>
      <x:c r="H185" s="477" t="n">
        <x:f>'Seasons'!F23</x:f>
        <x:v>1000</x:v>
      </x:c>
      <x:c r="I185" s="60" t="n">
        <x:f>'Seasons'!G23</x:f>
        <x:v>0.01</x:v>
      </x:c>
      <x:c r="J185" s="12" t="n">
        <x:f>H185*I185</x:f>
        <x:v>10</x:v>
      </x:c>
      <x:c r="K185" s="60" t="n">
        <x:f>J185*'Seasons'!H23</x:f>
        <x:v>4</x:v>
      </x:c>
      <x:c r="L185" s="60" t="n">
        <x:f>J185*'Seasons'!I23</x:f>
        <x:v>2</x:v>
      </x:c>
      <x:c r="M185" s="60" t="n">
        <x:f>J185*IF(G185="Growth",'Summary'!$J$9,IF(G185="Standard",'Summary'!$J$10,NA()))</x:f>
        <x:v>1</x:v>
      </x:c>
      <x:c r="N185" s="12" t="n">
        <x:f>J185-SUM(K185:M185)</x:f>
        <x:v>3</x:v>
      </x:c>
      <x:c r="O185" s="477" t="n">
        <x:f>'Summary'!$J$21</x:f>
        <x:v>10</x:v>
      </x:c>
      <x:c r="P185" s="477" t="n">
        <x:f>'Summary'!$J$22</x:f>
        <x:v>100</x:v>
      </x:c>
      <x:c r="Q185" s="477" t="n">
        <x:f>'Summary'!$J$24</x:f>
        <x:v>2</x:v>
      </x:c>
      <x:c r="R185" s="482" t="n">
        <x:f>Q185/H185</x:f>
        <x:v>0.002</x:v>
      </x:c>
      <x:c r="S185" s="60" t="n">
        <x:f>Q185*'Summary'!$J$12</x:f>
        <x:v>0.02</x:v>
      </x:c>
    </x:row>
    <x:row r="186" ht="25" customHeight="1">
      <x:c r="C186" s="32" t="n">
        <x:v>181</x:v>
      </x:c>
      <x:c r="D186" s="32" t="n">
        <x:v>19</x:v>
      </x:c>
      <x:c r="E186" s="32" t="str">
        <x:v>Vivid Fuchsia &amp; Magenta</x:v>
      </x:c>
      <x:c r="F186" s="403" t="str">
        <x:v>#FF0033</x:v>
      </x:c>
      <x:c r="G186" s="38" t="str">
        <x:v>Growth</x:v>
      </x:c>
      <x:c r="H186" s="475" t="n">
        <x:f>'Seasons'!F24</x:f>
        <x:v>1000</x:v>
      </x:c>
      <x:c r="I186" s="35" t="n">
        <x:f>'Seasons'!G24</x:f>
        <x:v>0.01</x:v>
      </x:c>
      <x:c r="J186" s="37" t="n">
        <x:f>H186*I186</x:f>
        <x:v>10</x:v>
      </x:c>
      <x:c r="K186" s="35" t="n">
        <x:f>J186*'Seasons'!H24</x:f>
        <x:v>4</x:v>
      </x:c>
      <x:c r="L186" s="35" t="n">
        <x:f>J186*'Seasons'!I24</x:f>
        <x:v>2</x:v>
      </x:c>
      <x:c r="M186" s="35" t="n">
        <x:f>J186*IF(G186="Growth",'Summary'!$J$9,IF(G186="Standard",'Summary'!$J$10,NA()))</x:f>
        <x:v>2</x:v>
      </x:c>
      <x:c r="N186" s="37" t="n">
        <x:f>J186-SUM(K186:M186)</x:f>
        <x:v>2</x:v>
      </x:c>
      <x:c r="O186" s="475" t="n">
        <x:f>'Summary'!$J$21</x:f>
        <x:v>10</x:v>
      </x:c>
      <x:c r="P186" s="475" t="n">
        <x:f>'Summary'!$J$22</x:f>
        <x:v>100</x:v>
      </x:c>
      <x:c r="Q186" s="475" t="n">
        <x:f>'Summary'!$J$24</x:f>
        <x:v>2</x:v>
      </x:c>
      <x:c r="R186" s="481" t="n">
        <x:f>Q186/H186</x:f>
        <x:v>0.002</x:v>
      </x:c>
      <x:c r="S186" s="35" t="n">
        <x:f>Q186*'Summary'!$J$12</x:f>
        <x:v>0.02</x:v>
      </x:c>
    </x:row>
    <x:row r="187" ht="25" customHeight="1">
      <x:c r="C187" s="2" t="n">
        <x:v>182</x:v>
      </x:c>
      <x:c r="D187" s="2" t="n">
        <x:v>19</x:v>
      </x:c>
      <x:c r="E187" s="2" t="str">
        <x:v>Vivid Fuchsia &amp; Magenta</x:v>
      </x:c>
      <x:c r="F187" s="405" t="str">
        <x:v>#FF0066</x:v>
      </x:c>
      <x:c r="G187" s="38" t="str">
        <x:v>Growth</x:v>
      </x:c>
      <x:c r="H187" s="477" t="n">
        <x:f>'Seasons'!F24</x:f>
        <x:v>1000</x:v>
      </x:c>
      <x:c r="I187" s="60" t="n">
        <x:f>'Seasons'!G24</x:f>
        <x:v>0.01</x:v>
      </x:c>
      <x:c r="J187" s="12" t="n">
        <x:f>H187*I187</x:f>
        <x:v>10</x:v>
      </x:c>
      <x:c r="K187" s="60" t="n">
        <x:f>J187*'Seasons'!H24</x:f>
        <x:v>4</x:v>
      </x:c>
      <x:c r="L187" s="60" t="n">
        <x:f>J187*'Seasons'!I24</x:f>
        <x:v>2</x:v>
      </x:c>
      <x:c r="M187" s="60" t="n">
        <x:f>J187*IF(G187="Growth",'Summary'!$J$9,IF(G187="Standard",'Summary'!$J$10,NA()))</x:f>
        <x:v>2</x:v>
      </x:c>
      <x:c r="N187" s="12" t="n">
        <x:f>J187-SUM(K187:M187)</x:f>
        <x:v>2</x:v>
      </x:c>
      <x:c r="O187" s="477" t="n">
        <x:f>'Summary'!$J$21</x:f>
        <x:v>10</x:v>
      </x:c>
      <x:c r="P187" s="477" t="n">
        <x:f>'Summary'!$J$22</x:f>
        <x:v>100</x:v>
      </x:c>
      <x:c r="Q187" s="477" t="n">
        <x:f>'Summary'!$J$24</x:f>
        <x:v>2</x:v>
      </x:c>
      <x:c r="R187" s="482" t="n">
        <x:f>Q187/H187</x:f>
        <x:v>0.002</x:v>
      </x:c>
      <x:c r="S187" s="60" t="n">
        <x:f>Q187*'Summary'!$J$12</x:f>
        <x:v>0.02</x:v>
      </x:c>
    </x:row>
    <x:row r="188" ht="25" customHeight="1">
      <x:c r="C188" s="32" t="n">
        <x:v>183</x:v>
      </x:c>
      <x:c r="D188" s="32" t="n">
        <x:v>19</x:v>
      </x:c>
      <x:c r="E188" s="32" t="str">
        <x:v>Vivid Fuchsia &amp; Magenta</x:v>
      </x:c>
      <x:c r="F188" s="407" t="str">
        <x:v>#FF0099</x:v>
      </x:c>
      <x:c r="G188" s="38" t="str">
        <x:v>Standard</x:v>
      </x:c>
      <x:c r="H188" s="475" t="n">
        <x:f>'Seasons'!F24</x:f>
        <x:v>1000</x:v>
      </x:c>
      <x:c r="I188" s="35" t="n">
        <x:f>'Seasons'!G24</x:f>
        <x:v>0.01</x:v>
      </x:c>
      <x:c r="J188" s="37" t="n">
        <x:f>H188*I188</x:f>
        <x:v>10</x:v>
      </x:c>
      <x:c r="K188" s="35" t="n">
        <x:f>J188*'Seasons'!H24</x:f>
        <x:v>4</x:v>
      </x:c>
      <x:c r="L188" s="35" t="n">
        <x:f>J188*'Seasons'!I24</x:f>
        <x:v>2</x:v>
      </x:c>
      <x:c r="M188" s="35" t="n">
        <x:f>J188*IF(G188="Growth",'Summary'!$J$9,IF(G188="Standard",'Summary'!$J$10,NA()))</x:f>
        <x:v>1</x:v>
      </x:c>
      <x:c r="N188" s="37" t="n">
        <x:f>J188-SUM(K188:M188)</x:f>
        <x:v>3</x:v>
      </x:c>
      <x:c r="O188" s="475" t="n">
        <x:f>'Summary'!$J$21</x:f>
        <x:v>10</x:v>
      </x:c>
      <x:c r="P188" s="475" t="n">
        <x:f>'Summary'!$J$22</x:f>
        <x:v>100</x:v>
      </x:c>
      <x:c r="Q188" s="475" t="n">
        <x:f>'Summary'!$J$24</x:f>
        <x:v>2</x:v>
      </x:c>
      <x:c r="R188" s="481" t="n">
        <x:f>Q188/H188</x:f>
        <x:v>0.002</x:v>
      </x:c>
      <x:c r="S188" s="35" t="n">
        <x:f>Q188*'Summary'!$J$12</x:f>
        <x:v>0.02</x:v>
      </x:c>
    </x:row>
    <x:row r="189" ht="25" customHeight="1">
      <x:c r="C189" s="2" t="n">
        <x:v>184</x:v>
      </x:c>
      <x:c r="D189" s="2" t="n">
        <x:v>19</x:v>
      </x:c>
      <x:c r="E189" s="2" t="str">
        <x:v>Vivid Fuchsia &amp; Magenta</x:v>
      </x:c>
      <x:c r="F189" s="409" t="str">
        <x:v>#FF00CC</x:v>
      </x:c>
      <x:c r="G189" s="38" t="str">
        <x:v>Standard</x:v>
      </x:c>
      <x:c r="H189" s="477" t="n">
        <x:f>'Seasons'!F24</x:f>
        <x:v>1000</x:v>
      </x:c>
      <x:c r="I189" s="60" t="n">
        <x:f>'Seasons'!G24</x:f>
        <x:v>0.01</x:v>
      </x:c>
      <x:c r="J189" s="12" t="n">
        <x:f>H189*I189</x:f>
        <x:v>10</x:v>
      </x:c>
      <x:c r="K189" s="60" t="n">
        <x:f>J189*'Seasons'!H24</x:f>
        <x:v>4</x:v>
      </x:c>
      <x:c r="L189" s="60" t="n">
        <x:f>J189*'Seasons'!I24</x:f>
        <x:v>2</x:v>
      </x:c>
      <x:c r="M189" s="60" t="n">
        <x:f>J189*IF(G189="Growth",'Summary'!$J$9,IF(G189="Standard",'Summary'!$J$10,NA()))</x:f>
        <x:v>1</x:v>
      </x:c>
      <x:c r="N189" s="12" t="n">
        <x:f>J189-SUM(K189:M189)</x:f>
        <x:v>3</x:v>
      </x:c>
      <x:c r="O189" s="477" t="n">
        <x:f>'Summary'!$J$21</x:f>
        <x:v>10</x:v>
      </x:c>
      <x:c r="P189" s="477" t="n">
        <x:f>'Summary'!$J$22</x:f>
        <x:v>100</x:v>
      </x:c>
      <x:c r="Q189" s="477" t="n">
        <x:f>'Summary'!$J$24</x:f>
        <x:v>2</x:v>
      </x:c>
      <x:c r="R189" s="482" t="n">
        <x:f>Q189/H189</x:f>
        <x:v>0.002</x:v>
      </x:c>
      <x:c r="S189" s="60" t="n">
        <x:f>Q189*'Summary'!$J$12</x:f>
        <x:v>0.02</x:v>
      </x:c>
    </x:row>
    <x:row r="190" ht="25" customHeight="1">
      <x:c r="C190" s="32" t="n">
        <x:v>185</x:v>
      </x:c>
      <x:c r="D190" s="32" t="n">
        <x:v>19</x:v>
      </x:c>
      <x:c r="E190" s="32" t="str">
        <x:v>Vivid Fuchsia &amp; Magenta</x:v>
      </x:c>
      <x:c r="F190" s="411" t="str">
        <x:v>#FF00FF</x:v>
      </x:c>
      <x:c r="G190" s="38" t="str">
        <x:v>Standard</x:v>
      </x:c>
      <x:c r="H190" s="475" t="n">
        <x:f>'Seasons'!F24</x:f>
        <x:v>1000</x:v>
      </x:c>
      <x:c r="I190" s="35" t="n">
        <x:f>'Seasons'!G24</x:f>
        <x:v>0.01</x:v>
      </x:c>
      <x:c r="J190" s="37" t="n">
        <x:f>H190*I190</x:f>
        <x:v>10</x:v>
      </x:c>
      <x:c r="K190" s="35" t="n">
        <x:f>J190*'Seasons'!H24</x:f>
        <x:v>4</x:v>
      </x:c>
      <x:c r="L190" s="35" t="n">
        <x:f>J190*'Seasons'!I24</x:f>
        <x:v>2</x:v>
      </x:c>
      <x:c r="M190" s="35" t="n">
        <x:f>J190*IF(G190="Growth",'Summary'!$J$9,IF(G190="Standard",'Summary'!$J$10,NA()))</x:f>
        <x:v>1</x:v>
      </x:c>
      <x:c r="N190" s="37" t="n">
        <x:f>J190-SUM(K190:M190)</x:f>
        <x:v>3</x:v>
      </x:c>
      <x:c r="O190" s="475" t="n">
        <x:f>'Summary'!$J$21</x:f>
        <x:v>10</x:v>
      </x:c>
      <x:c r="P190" s="475" t="n">
        <x:f>'Summary'!$J$22</x:f>
        <x:v>100</x:v>
      </x:c>
      <x:c r="Q190" s="475" t="n">
        <x:f>'Summary'!$J$24</x:f>
        <x:v>2</x:v>
      </x:c>
      <x:c r="R190" s="481" t="n">
        <x:f>Q190/H190</x:f>
        <x:v>0.002</x:v>
      </x:c>
      <x:c r="S190" s="35" t="n">
        <x:f>Q190*'Summary'!$J$12</x:f>
        <x:v>0.02</x:v>
      </x:c>
    </x:row>
    <x:row r="191" ht="25" customHeight="1">
      <x:c r="C191" s="2" t="n">
        <x:v>186</x:v>
      </x:c>
      <x:c r="D191" s="2" t="n">
        <x:v>19</x:v>
      </x:c>
      <x:c r="E191" s="2" t="str">
        <x:v>Vivid Fuchsia &amp; Magenta</x:v>
      </x:c>
      <x:c r="F191" s="413" t="str">
        <x:v>#FF3366</x:v>
      </x:c>
      <x:c r="G191" s="38" t="str">
        <x:v>Standard</x:v>
      </x:c>
      <x:c r="H191" s="477" t="n">
        <x:f>'Seasons'!F24</x:f>
        <x:v>1000</x:v>
      </x:c>
      <x:c r="I191" s="60" t="n">
        <x:f>'Seasons'!G24</x:f>
        <x:v>0.01</x:v>
      </x:c>
      <x:c r="J191" s="12" t="n">
        <x:f>H191*I191</x:f>
        <x:v>10</x:v>
      </x:c>
      <x:c r="K191" s="60" t="n">
        <x:f>J191*'Seasons'!H24</x:f>
        <x:v>4</x:v>
      </x:c>
      <x:c r="L191" s="60" t="n">
        <x:f>J191*'Seasons'!I24</x:f>
        <x:v>2</x:v>
      </x:c>
      <x:c r="M191" s="60" t="n">
        <x:f>J191*IF(G191="Growth",'Summary'!$J$9,IF(G191="Standard",'Summary'!$J$10,NA()))</x:f>
        <x:v>1</x:v>
      </x:c>
      <x:c r="N191" s="12" t="n">
        <x:f>J191-SUM(K191:M191)</x:f>
        <x:v>3</x:v>
      </x:c>
      <x:c r="O191" s="477" t="n">
        <x:f>'Summary'!$J$21</x:f>
        <x:v>10</x:v>
      </x:c>
      <x:c r="P191" s="477" t="n">
        <x:f>'Summary'!$J$22</x:f>
        <x:v>100</x:v>
      </x:c>
      <x:c r="Q191" s="477" t="n">
        <x:f>'Summary'!$J$24</x:f>
        <x:v>2</x:v>
      </x:c>
      <x:c r="R191" s="482" t="n">
        <x:f>Q191/H191</x:f>
        <x:v>0.002</x:v>
      </x:c>
      <x:c r="S191" s="60" t="n">
        <x:f>Q191*'Summary'!$J$12</x:f>
        <x:v>0.02</x:v>
      </x:c>
    </x:row>
    <x:row r="192" ht="25" customHeight="1">
      <x:c r="C192" s="32" t="n">
        <x:v>187</x:v>
      </x:c>
      <x:c r="D192" s="32" t="n">
        <x:v>19</x:v>
      </x:c>
      <x:c r="E192" s="32" t="str">
        <x:v>Vivid Fuchsia &amp; Magenta</x:v>
      </x:c>
      <x:c r="F192" s="415" t="str">
        <x:v>#FF3399</x:v>
      </x:c>
      <x:c r="G192" s="38" t="str">
        <x:v>Standard</x:v>
      </x:c>
      <x:c r="H192" s="475" t="n">
        <x:f>'Seasons'!F24</x:f>
        <x:v>1000</x:v>
      </x:c>
      <x:c r="I192" s="35" t="n">
        <x:f>'Seasons'!G24</x:f>
        <x:v>0.01</x:v>
      </x:c>
      <x:c r="J192" s="37" t="n">
        <x:f>H192*I192</x:f>
        <x:v>10</x:v>
      </x:c>
      <x:c r="K192" s="35" t="n">
        <x:f>J192*'Seasons'!H24</x:f>
        <x:v>4</x:v>
      </x:c>
      <x:c r="L192" s="35" t="n">
        <x:f>J192*'Seasons'!I24</x:f>
        <x:v>2</x:v>
      </x:c>
      <x:c r="M192" s="35" t="n">
        <x:f>J192*IF(G192="Growth",'Summary'!$J$9,IF(G192="Standard",'Summary'!$J$10,NA()))</x:f>
        <x:v>1</x:v>
      </x:c>
      <x:c r="N192" s="37" t="n">
        <x:f>J192-SUM(K192:M192)</x:f>
        <x:v>3</x:v>
      </x:c>
      <x:c r="O192" s="475" t="n">
        <x:f>'Summary'!$J$21</x:f>
        <x:v>10</x:v>
      </x:c>
      <x:c r="P192" s="475" t="n">
        <x:f>'Summary'!$J$22</x:f>
        <x:v>100</x:v>
      </x:c>
      <x:c r="Q192" s="475" t="n">
        <x:f>'Summary'!$J$24</x:f>
        <x:v>2</x:v>
      </x:c>
      <x:c r="R192" s="481" t="n">
        <x:f>Q192/H192</x:f>
        <x:v>0.002</x:v>
      </x:c>
      <x:c r="S192" s="35" t="n">
        <x:f>Q192*'Summary'!$J$12</x:f>
        <x:v>0.02</x:v>
      </x:c>
    </x:row>
    <x:row r="193" ht="25" customHeight="1">
      <x:c r="C193" s="2" t="n">
        <x:v>188</x:v>
      </x:c>
      <x:c r="D193" s="2" t="n">
        <x:v>19</x:v>
      </x:c>
      <x:c r="E193" s="2" t="str">
        <x:v>Vivid Fuchsia &amp; Magenta</x:v>
      </x:c>
      <x:c r="F193" s="417" t="str">
        <x:v>#FF33CC</x:v>
      </x:c>
      <x:c r="G193" s="38" t="str">
        <x:v>Standard</x:v>
      </x:c>
      <x:c r="H193" s="477" t="n">
        <x:f>'Seasons'!F24</x:f>
        <x:v>1000</x:v>
      </x:c>
      <x:c r="I193" s="60" t="n">
        <x:f>'Seasons'!G24</x:f>
        <x:v>0.01</x:v>
      </x:c>
      <x:c r="J193" s="12" t="n">
        <x:f>H193*I193</x:f>
        <x:v>10</x:v>
      </x:c>
      <x:c r="K193" s="60" t="n">
        <x:f>J193*'Seasons'!H24</x:f>
        <x:v>4</x:v>
      </x:c>
      <x:c r="L193" s="60" t="n">
        <x:f>J193*'Seasons'!I24</x:f>
        <x:v>2</x:v>
      </x:c>
      <x:c r="M193" s="60" t="n">
        <x:f>J193*IF(G193="Growth",'Summary'!$J$9,IF(G193="Standard",'Summary'!$J$10,NA()))</x:f>
        <x:v>1</x:v>
      </x:c>
      <x:c r="N193" s="12" t="n">
        <x:f>J193-SUM(K193:M193)</x:f>
        <x:v>3</x:v>
      </x:c>
      <x:c r="O193" s="477" t="n">
        <x:f>'Summary'!$J$21</x:f>
        <x:v>10</x:v>
      </x:c>
      <x:c r="P193" s="477" t="n">
        <x:f>'Summary'!$J$22</x:f>
        <x:v>100</x:v>
      </x:c>
      <x:c r="Q193" s="477" t="n">
        <x:f>'Summary'!$J$24</x:f>
        <x:v>2</x:v>
      </x:c>
      <x:c r="R193" s="482" t="n">
        <x:f>Q193/H193</x:f>
        <x:v>0.002</x:v>
      </x:c>
      <x:c r="S193" s="60" t="n">
        <x:f>Q193*'Summary'!$J$12</x:f>
        <x:v>0.02</x:v>
      </x:c>
    </x:row>
    <x:row r="194" ht="25" customHeight="1">
      <x:c r="C194" s="32" t="n">
        <x:v>189</x:v>
      </x:c>
      <x:c r="D194" s="32" t="n">
        <x:v>19</x:v>
      </x:c>
      <x:c r="E194" s="32" t="str">
        <x:v>Vivid Fuchsia &amp; Magenta</x:v>
      </x:c>
      <x:c r="F194" s="419" t="str">
        <x:v>#FF33FF</x:v>
      </x:c>
      <x:c r="G194" s="38" t="str">
        <x:v>Standard</x:v>
      </x:c>
      <x:c r="H194" s="475" t="n">
        <x:f>'Seasons'!F24</x:f>
        <x:v>1000</x:v>
      </x:c>
      <x:c r="I194" s="35" t="n">
        <x:f>'Seasons'!G24</x:f>
        <x:v>0.01</x:v>
      </x:c>
      <x:c r="J194" s="37" t="n">
        <x:f>H194*I194</x:f>
        <x:v>10</x:v>
      </x:c>
      <x:c r="K194" s="35" t="n">
        <x:f>J194*'Seasons'!H24</x:f>
        <x:v>4</x:v>
      </x:c>
      <x:c r="L194" s="35" t="n">
        <x:f>J194*'Seasons'!I24</x:f>
        <x:v>2</x:v>
      </x:c>
      <x:c r="M194" s="35" t="n">
        <x:f>J194*IF(G194="Growth",'Summary'!$J$9,IF(G194="Standard",'Summary'!$J$10,NA()))</x:f>
        <x:v>1</x:v>
      </x:c>
      <x:c r="N194" s="37" t="n">
        <x:f>J194-SUM(K194:M194)</x:f>
        <x:v>3</x:v>
      </x:c>
      <x:c r="O194" s="475" t="n">
        <x:f>'Summary'!$J$21</x:f>
        <x:v>10</x:v>
      </x:c>
      <x:c r="P194" s="475" t="n">
        <x:f>'Summary'!$J$22</x:f>
        <x:v>100</x:v>
      </x:c>
      <x:c r="Q194" s="475" t="n">
        <x:f>'Summary'!$J$24</x:f>
        <x:v>2</x:v>
      </x:c>
      <x:c r="R194" s="481" t="n">
        <x:f>Q194/H194</x:f>
        <x:v>0.002</x:v>
      </x:c>
      <x:c r="S194" s="35" t="n">
        <x:f>Q194*'Summary'!$J$12</x:f>
        <x:v>0.02</x:v>
      </x:c>
    </x:row>
    <x:row r="195" ht="25" customHeight="1">
      <x:c r="C195" s="2" t="n">
        <x:v>190</x:v>
      </x:c>
      <x:c r="D195" s="2" t="n">
        <x:v>19</x:v>
      </x:c>
      <x:c r="E195" s="2" t="str">
        <x:v>Vivid Fuchsia &amp; Magenta</x:v>
      </x:c>
      <x:c r="F195" s="421" t="str">
        <x:v>#CC6699</x:v>
      </x:c>
      <x:c r="G195" s="38" t="str">
        <x:v>Standard</x:v>
      </x:c>
      <x:c r="H195" s="477" t="n">
        <x:f>'Seasons'!F24</x:f>
        <x:v>1000</x:v>
      </x:c>
      <x:c r="I195" s="60" t="n">
        <x:f>'Seasons'!G24</x:f>
        <x:v>0.01</x:v>
      </x:c>
      <x:c r="J195" s="12" t="n">
        <x:f>H195*I195</x:f>
        <x:v>10</x:v>
      </x:c>
      <x:c r="K195" s="60" t="n">
        <x:f>J195*'Seasons'!H24</x:f>
        <x:v>4</x:v>
      </x:c>
      <x:c r="L195" s="60" t="n">
        <x:f>J195*'Seasons'!I24</x:f>
        <x:v>2</x:v>
      </x:c>
      <x:c r="M195" s="60" t="n">
        <x:f>J195*IF(G195="Growth",'Summary'!$J$9,IF(G195="Standard",'Summary'!$J$10,NA()))</x:f>
        <x:v>1</x:v>
      </x:c>
      <x:c r="N195" s="12" t="n">
        <x:f>J195-SUM(K195:M195)</x:f>
        <x:v>3</x:v>
      </x:c>
      <x:c r="O195" s="477" t="n">
        <x:f>'Summary'!$J$21</x:f>
        <x:v>10</x:v>
      </x:c>
      <x:c r="P195" s="477" t="n">
        <x:f>'Summary'!$J$22</x:f>
        <x:v>100</x:v>
      </x:c>
      <x:c r="Q195" s="477" t="n">
        <x:f>'Summary'!$J$24</x:f>
        <x:v>2</x:v>
      </x:c>
      <x:c r="R195" s="482" t="n">
        <x:f>Q195/H195</x:f>
        <x:v>0.002</x:v>
      </x:c>
      <x:c r="S195" s="60" t="n">
        <x:f>Q195*'Summary'!$J$12</x:f>
        <x:v>0.02</x:v>
      </x:c>
    </x:row>
    <x:row r="196" ht="25" customHeight="1">
      <x:c r="C196" s="32" t="n">
        <x:v>191</x:v>
      </x:c>
      <x:c r="D196" s="32" t="n">
        <x:v>20</x:v>
      </x:c>
      <x:c r="E196" s="32" t="str">
        <x:v>Bubblegum &amp; Pastel Coral</x:v>
      </x:c>
      <x:c r="F196" s="423" t="str">
        <x:v>#CC66CC</x:v>
      </x:c>
      <x:c r="G196" s="38" t="str">
        <x:v>Growth</x:v>
      </x:c>
      <x:c r="H196" s="475" t="n">
        <x:f>'Seasons'!F25</x:f>
        <x:v>1000</x:v>
      </x:c>
      <x:c r="I196" s="35" t="n">
        <x:f>'Seasons'!G25</x:f>
        <x:v>0.01</x:v>
      </x:c>
      <x:c r="J196" s="37" t="n">
        <x:f>H196*I196</x:f>
        <x:v>10</x:v>
      </x:c>
      <x:c r="K196" s="35" t="n">
        <x:f>J196*'Seasons'!H25</x:f>
        <x:v>4</x:v>
      </x:c>
      <x:c r="L196" s="35" t="n">
        <x:f>J196*'Seasons'!I25</x:f>
        <x:v>2</x:v>
      </x:c>
      <x:c r="M196" s="35" t="n">
        <x:f>J196*IF(G196="Growth",'Summary'!$J$9,IF(G196="Standard",'Summary'!$J$10,NA()))</x:f>
        <x:v>2</x:v>
      </x:c>
      <x:c r="N196" s="37" t="n">
        <x:f>J196-SUM(K196:M196)</x:f>
        <x:v>2</x:v>
      </x:c>
      <x:c r="O196" s="475" t="n">
        <x:f>'Summary'!$J$21</x:f>
        <x:v>10</x:v>
      </x:c>
      <x:c r="P196" s="475" t="n">
        <x:f>'Summary'!$J$22</x:f>
        <x:v>100</x:v>
      </x:c>
      <x:c r="Q196" s="475" t="n">
        <x:f>'Summary'!$J$24</x:f>
        <x:v>2</x:v>
      </x:c>
      <x:c r="R196" s="481" t="n">
        <x:f>Q196/H196</x:f>
        <x:v>0.002</x:v>
      </x:c>
      <x:c r="S196" s="35" t="n">
        <x:f>Q196*'Summary'!$J$12</x:f>
        <x:v>0.02</x:v>
      </x:c>
    </x:row>
    <x:row r="197" ht="25" customHeight="1">
      <x:c r="C197" s="2" t="n">
        <x:v>192</x:v>
      </x:c>
      <x:c r="D197" s="2" t="n">
        <x:v>20</x:v>
      </x:c>
      <x:c r="E197" s="2" t="str">
        <x:v>Bubblegum &amp; Pastel Coral</x:v>
      </x:c>
      <x:c r="F197" s="425" t="str">
        <x:v>#CC66FF</x:v>
      </x:c>
      <x:c r="G197" s="38" t="str">
        <x:v>Growth</x:v>
      </x:c>
      <x:c r="H197" s="477" t="n">
        <x:f>'Seasons'!F25</x:f>
        <x:v>1000</x:v>
      </x:c>
      <x:c r="I197" s="60" t="n">
        <x:f>'Seasons'!G25</x:f>
        <x:v>0.01</x:v>
      </x:c>
      <x:c r="J197" s="12" t="n">
        <x:f>H197*I197</x:f>
        <x:v>10</x:v>
      </x:c>
      <x:c r="K197" s="60" t="n">
        <x:f>J197*'Seasons'!H25</x:f>
        <x:v>4</x:v>
      </x:c>
      <x:c r="L197" s="60" t="n">
        <x:f>J197*'Seasons'!I25</x:f>
        <x:v>2</x:v>
      </x:c>
      <x:c r="M197" s="60" t="n">
        <x:f>J197*IF(G197="Growth",'Summary'!$J$9,IF(G197="Standard",'Summary'!$J$10,NA()))</x:f>
        <x:v>2</x:v>
      </x:c>
      <x:c r="N197" s="12" t="n">
        <x:f>J197-SUM(K197:M197)</x:f>
        <x:v>2</x:v>
      </x:c>
      <x:c r="O197" s="477" t="n">
        <x:f>'Summary'!$J$21</x:f>
        <x:v>10</x:v>
      </x:c>
      <x:c r="P197" s="477" t="n">
        <x:f>'Summary'!$J$22</x:f>
        <x:v>100</x:v>
      </x:c>
      <x:c r="Q197" s="477" t="n">
        <x:f>'Summary'!$J$24</x:f>
        <x:v>2</x:v>
      </x:c>
      <x:c r="R197" s="482" t="n">
        <x:f>Q197/H197</x:f>
        <x:v>0.002</x:v>
      </x:c>
      <x:c r="S197" s="60" t="n">
        <x:f>Q197*'Summary'!$J$12</x:f>
        <x:v>0.02</x:v>
      </x:c>
    </x:row>
    <x:row r="198" ht="25" customHeight="1">
      <x:c r="C198" s="32" t="n">
        <x:v>193</x:v>
      </x:c>
      <x:c r="D198" s="32" t="n">
        <x:v>20</x:v>
      </x:c>
      <x:c r="E198" s="32" t="str">
        <x:v>Bubblegum &amp; Pastel Coral</x:v>
      </x:c>
      <x:c r="F198" s="427" t="str">
        <x:v>#FF6699</x:v>
      </x:c>
      <x:c r="G198" s="38" t="str">
        <x:v>Standard</x:v>
      </x:c>
      <x:c r="H198" s="475" t="n">
        <x:f>'Seasons'!F25</x:f>
        <x:v>1000</x:v>
      </x:c>
      <x:c r="I198" s="35" t="n">
        <x:f>'Seasons'!G25</x:f>
        <x:v>0.01</x:v>
      </x:c>
      <x:c r="J198" s="37" t="n">
        <x:f>H198*I198</x:f>
        <x:v>10</x:v>
      </x:c>
      <x:c r="K198" s="35" t="n">
        <x:f>J198*'Seasons'!H25</x:f>
        <x:v>4</x:v>
      </x:c>
      <x:c r="L198" s="35" t="n">
        <x:f>J198*'Seasons'!I25</x:f>
        <x:v>2</x:v>
      </x:c>
      <x:c r="M198" s="35" t="n">
        <x:f>J198*IF(G198="Growth",'Summary'!$J$9,IF(G198="Standard",'Summary'!$J$10,NA()))</x:f>
        <x:v>1</x:v>
      </x:c>
      <x:c r="N198" s="37" t="n">
        <x:f>J198-SUM(K198:M198)</x:f>
        <x:v>3</x:v>
      </x:c>
      <x:c r="O198" s="475" t="n">
        <x:f>'Summary'!$J$21</x:f>
        <x:v>10</x:v>
      </x:c>
      <x:c r="P198" s="475" t="n">
        <x:f>'Summary'!$J$22</x:f>
        <x:v>100</x:v>
      </x:c>
      <x:c r="Q198" s="475" t="n">
        <x:f>'Summary'!$J$24</x:f>
        <x:v>2</x:v>
      </x:c>
      <x:c r="R198" s="481" t="n">
        <x:f>Q198/H198</x:f>
        <x:v>0.002</x:v>
      </x:c>
      <x:c r="S198" s="35" t="n">
        <x:f>Q198*'Summary'!$J$12</x:f>
        <x:v>0.02</x:v>
      </x:c>
    </x:row>
    <x:row r="199" ht="25" customHeight="1">
      <x:c r="C199" s="2" t="n">
        <x:v>194</x:v>
      </x:c>
      <x:c r="D199" s="2" t="n">
        <x:v>20</x:v>
      </x:c>
      <x:c r="E199" s="2" t="str">
        <x:v>Bubblegum &amp; Pastel Coral</x:v>
      </x:c>
      <x:c r="F199" s="429" t="str">
        <x:v>#FF66CC</x:v>
      </x:c>
      <x:c r="G199" s="38" t="str">
        <x:v>Standard</x:v>
      </x:c>
      <x:c r="H199" s="477" t="n">
        <x:f>'Seasons'!F25</x:f>
        <x:v>1000</x:v>
      </x:c>
      <x:c r="I199" s="60" t="n">
        <x:f>'Seasons'!G25</x:f>
        <x:v>0.01</x:v>
      </x:c>
      <x:c r="J199" s="12" t="n">
        <x:f>H199*I199</x:f>
        <x:v>10</x:v>
      </x:c>
      <x:c r="K199" s="60" t="n">
        <x:f>J199*'Seasons'!H25</x:f>
        <x:v>4</x:v>
      </x:c>
      <x:c r="L199" s="60" t="n">
        <x:f>J199*'Seasons'!I25</x:f>
        <x:v>2</x:v>
      </x:c>
      <x:c r="M199" s="60" t="n">
        <x:f>J199*IF(G199="Growth",'Summary'!$J$9,IF(G199="Standard",'Summary'!$J$10,NA()))</x:f>
        <x:v>1</x:v>
      </x:c>
      <x:c r="N199" s="12" t="n">
        <x:f>J199-SUM(K199:M199)</x:f>
        <x:v>3</x:v>
      </x:c>
      <x:c r="O199" s="477" t="n">
        <x:f>'Summary'!$J$21</x:f>
        <x:v>10</x:v>
      </x:c>
      <x:c r="P199" s="477" t="n">
        <x:f>'Summary'!$J$22</x:f>
        <x:v>100</x:v>
      </x:c>
      <x:c r="Q199" s="477" t="n">
        <x:f>'Summary'!$J$24</x:f>
        <x:v>2</x:v>
      </x:c>
      <x:c r="R199" s="482" t="n">
        <x:f>Q199/H199</x:f>
        <x:v>0.002</x:v>
      </x:c>
      <x:c r="S199" s="60" t="n">
        <x:f>Q199*'Summary'!$J$12</x:f>
        <x:v>0.02</x:v>
      </x:c>
    </x:row>
    <x:row r="200" ht="25" customHeight="1">
      <x:c r="C200" s="32" t="n">
        <x:v>195</x:v>
      </x:c>
      <x:c r="D200" s="32" t="n">
        <x:v>20</x:v>
      </x:c>
      <x:c r="E200" s="32" t="str">
        <x:v>Bubblegum &amp; Pastel Coral</x:v>
      </x:c>
      <x:c r="F200" s="431" t="str">
        <x:v>#FF66FF</x:v>
      </x:c>
      <x:c r="G200" s="38" t="str">
        <x:v>Standard</x:v>
      </x:c>
      <x:c r="H200" s="475" t="n">
        <x:f>'Seasons'!F25</x:f>
        <x:v>1000</x:v>
      </x:c>
      <x:c r="I200" s="35" t="n">
        <x:f>'Seasons'!G25</x:f>
        <x:v>0.01</x:v>
      </x:c>
      <x:c r="J200" s="37" t="n">
        <x:f>H200*I200</x:f>
        <x:v>10</x:v>
      </x:c>
      <x:c r="K200" s="35" t="n">
        <x:f>J200*'Seasons'!H25</x:f>
        <x:v>4</x:v>
      </x:c>
      <x:c r="L200" s="35" t="n">
        <x:f>J200*'Seasons'!I25</x:f>
        <x:v>2</x:v>
      </x:c>
      <x:c r="M200" s="35" t="n">
        <x:f>J200*IF(G200="Growth",'Summary'!$J$9,IF(G200="Standard",'Summary'!$J$10,NA()))</x:f>
        <x:v>1</x:v>
      </x:c>
      <x:c r="N200" s="37" t="n">
        <x:f>J200-SUM(K200:M200)</x:f>
        <x:v>3</x:v>
      </x:c>
      <x:c r="O200" s="475" t="n">
        <x:f>'Summary'!$J$21</x:f>
        <x:v>10</x:v>
      </x:c>
      <x:c r="P200" s="475" t="n">
        <x:f>'Summary'!$J$22</x:f>
        <x:v>100</x:v>
      </x:c>
      <x:c r="Q200" s="475" t="n">
        <x:f>'Summary'!$J$24</x:f>
        <x:v>2</x:v>
      </x:c>
      <x:c r="R200" s="481" t="n">
        <x:f>Q200/H200</x:f>
        <x:v>0.002</x:v>
      </x:c>
      <x:c r="S200" s="35" t="n">
        <x:f>Q200*'Summary'!$J$12</x:f>
        <x:v>0.02</x:v>
      </x:c>
    </x:row>
    <x:row r="201" ht="25" customHeight="1">
      <x:c r="C201" s="2" t="n">
        <x:v>196</x:v>
      </x:c>
      <x:c r="D201" s="2" t="n">
        <x:v>20</x:v>
      </x:c>
      <x:c r="E201" s="2" t="str">
        <x:v>Bubblegum &amp; Pastel Coral</x:v>
      </x:c>
      <x:c r="F201" s="433" t="str">
        <x:v>#CC99CC</x:v>
      </x:c>
      <x:c r="G201" s="38" t="str">
        <x:v>Standard</x:v>
      </x:c>
      <x:c r="H201" s="477" t="n">
        <x:f>'Seasons'!F25</x:f>
        <x:v>1000</x:v>
      </x:c>
      <x:c r="I201" s="60" t="n">
        <x:f>'Seasons'!G25</x:f>
        <x:v>0.01</x:v>
      </x:c>
      <x:c r="J201" s="12" t="n">
        <x:f>H201*I201</x:f>
        <x:v>10</x:v>
      </x:c>
      <x:c r="K201" s="60" t="n">
        <x:f>J201*'Seasons'!H25</x:f>
        <x:v>4</x:v>
      </x:c>
      <x:c r="L201" s="60" t="n">
        <x:f>J201*'Seasons'!I25</x:f>
        <x:v>2</x:v>
      </x:c>
      <x:c r="M201" s="60" t="n">
        <x:f>J201*IF(G201="Growth",'Summary'!$J$9,IF(G201="Standard",'Summary'!$J$10,NA()))</x:f>
        <x:v>1</x:v>
      </x:c>
      <x:c r="N201" s="12" t="n">
        <x:f>J201-SUM(K201:M201)</x:f>
        <x:v>3</x:v>
      </x:c>
      <x:c r="O201" s="477" t="n">
        <x:f>'Summary'!$J$21</x:f>
        <x:v>10</x:v>
      </x:c>
      <x:c r="P201" s="477" t="n">
        <x:f>'Summary'!$J$22</x:f>
        <x:v>100</x:v>
      </x:c>
      <x:c r="Q201" s="477" t="n">
        <x:f>'Summary'!$J$24</x:f>
        <x:v>2</x:v>
      </x:c>
      <x:c r="R201" s="482" t="n">
        <x:f>Q201/H201</x:f>
        <x:v>0.002</x:v>
      </x:c>
      <x:c r="S201" s="60" t="n">
        <x:f>Q201*'Summary'!$J$12</x:f>
        <x:v>0.02</x:v>
      </x:c>
    </x:row>
    <x:row r="202" ht="25" customHeight="1">
      <x:c r="C202" s="32" t="n">
        <x:v>197</x:v>
      </x:c>
      <x:c r="D202" s="32" t="n">
        <x:v>20</x:v>
      </x:c>
      <x:c r="E202" s="32" t="str">
        <x:v>Bubblegum &amp; Pastel Coral</x:v>
      </x:c>
      <x:c r="F202" s="435" t="str">
        <x:v>#CC99FF</x:v>
      </x:c>
      <x:c r="G202" s="38" t="str">
        <x:v>Standard</x:v>
      </x:c>
      <x:c r="H202" s="475" t="n">
        <x:f>'Seasons'!F25</x:f>
        <x:v>1000</x:v>
      </x:c>
      <x:c r="I202" s="35" t="n">
        <x:f>'Seasons'!G25</x:f>
        <x:v>0.01</x:v>
      </x:c>
      <x:c r="J202" s="37" t="n">
        <x:f>H202*I202</x:f>
        <x:v>10</x:v>
      </x:c>
      <x:c r="K202" s="35" t="n">
        <x:f>J202*'Seasons'!H25</x:f>
        <x:v>4</x:v>
      </x:c>
      <x:c r="L202" s="35" t="n">
        <x:f>J202*'Seasons'!I25</x:f>
        <x:v>2</x:v>
      </x:c>
      <x:c r="M202" s="35" t="n">
        <x:f>J202*IF(G202="Growth",'Summary'!$J$9,IF(G202="Standard",'Summary'!$J$10,NA()))</x:f>
        <x:v>1</x:v>
      </x:c>
      <x:c r="N202" s="37" t="n">
        <x:f>J202-SUM(K202:M202)</x:f>
        <x:v>3</x:v>
      </x:c>
      <x:c r="O202" s="475" t="n">
        <x:f>'Summary'!$J$21</x:f>
        <x:v>10</x:v>
      </x:c>
      <x:c r="P202" s="475" t="n">
        <x:f>'Summary'!$J$22</x:f>
        <x:v>100</x:v>
      </x:c>
      <x:c r="Q202" s="475" t="n">
        <x:f>'Summary'!$J$24</x:f>
        <x:v>2</x:v>
      </x:c>
      <x:c r="R202" s="481" t="n">
        <x:f>Q202/H202</x:f>
        <x:v>0.002</x:v>
      </x:c>
      <x:c r="S202" s="35" t="n">
        <x:f>Q202*'Summary'!$J$12</x:f>
        <x:v>0.02</x:v>
      </x:c>
    </x:row>
    <x:row r="203" ht="25" customHeight="1">
      <x:c r="C203" s="2" t="n">
        <x:v>198</x:v>
      </x:c>
      <x:c r="D203" s="2" t="n">
        <x:v>20</x:v>
      </x:c>
      <x:c r="E203" s="2" t="str">
        <x:v>Bubblegum &amp; Pastel Coral</x:v>
      </x:c>
      <x:c r="F203" s="437" t="str">
        <x:v>#FF99CC</x:v>
      </x:c>
      <x:c r="G203" s="38" t="str">
        <x:v>Standard</x:v>
      </x:c>
      <x:c r="H203" s="477" t="n">
        <x:f>'Seasons'!F25</x:f>
        <x:v>1000</x:v>
      </x:c>
      <x:c r="I203" s="60" t="n">
        <x:f>'Seasons'!G25</x:f>
        <x:v>0.01</x:v>
      </x:c>
      <x:c r="J203" s="12" t="n">
        <x:f>H203*I203</x:f>
        <x:v>10</x:v>
      </x:c>
      <x:c r="K203" s="60" t="n">
        <x:f>J203*'Seasons'!H25</x:f>
        <x:v>4</x:v>
      </x:c>
      <x:c r="L203" s="60" t="n">
        <x:f>J203*'Seasons'!I25</x:f>
        <x:v>2</x:v>
      </x:c>
      <x:c r="M203" s="60" t="n">
        <x:f>J203*IF(G203="Growth",'Summary'!$J$9,IF(G203="Standard",'Summary'!$J$10,NA()))</x:f>
        <x:v>1</x:v>
      </x:c>
      <x:c r="N203" s="12" t="n">
        <x:f>J203-SUM(K203:M203)</x:f>
        <x:v>3</x:v>
      </x:c>
      <x:c r="O203" s="477" t="n">
        <x:f>'Summary'!$J$21</x:f>
        <x:v>10</x:v>
      </x:c>
      <x:c r="P203" s="477" t="n">
        <x:f>'Summary'!$J$22</x:f>
        <x:v>100</x:v>
      </x:c>
      <x:c r="Q203" s="477" t="n">
        <x:f>'Summary'!$J$24</x:f>
        <x:v>2</x:v>
      </x:c>
      <x:c r="R203" s="482" t="n">
        <x:f>Q203/H203</x:f>
        <x:v>0.002</x:v>
      </x:c>
      <x:c r="S203" s="60" t="n">
        <x:f>Q203*'Summary'!$J$12</x:f>
        <x:v>0.02</x:v>
      </x:c>
    </x:row>
    <x:row r="204" ht="25" customHeight="1">
      <x:c r="C204" s="32" t="n">
        <x:v>199</x:v>
      </x:c>
      <x:c r="D204" s="32" t="n">
        <x:v>20</x:v>
      </x:c>
      <x:c r="E204" s="32" t="str">
        <x:v>Bubblegum &amp; Pastel Coral</x:v>
      </x:c>
      <x:c r="F204" s="439" t="str">
        <x:v>#FF99FF</x:v>
      </x:c>
      <x:c r="G204" s="38" t="str">
        <x:v>Standard</x:v>
      </x:c>
      <x:c r="H204" s="475" t="n">
        <x:f>'Seasons'!F25</x:f>
        <x:v>1000</x:v>
      </x:c>
      <x:c r="I204" s="35" t="n">
        <x:f>'Seasons'!G25</x:f>
        <x:v>0.01</x:v>
      </x:c>
      <x:c r="J204" s="37" t="n">
        <x:f>H204*I204</x:f>
        <x:v>10</x:v>
      </x:c>
      <x:c r="K204" s="35" t="n">
        <x:f>J204*'Seasons'!H25</x:f>
        <x:v>4</x:v>
      </x:c>
      <x:c r="L204" s="35" t="n">
        <x:f>J204*'Seasons'!I25</x:f>
        <x:v>2</x:v>
      </x:c>
      <x:c r="M204" s="35" t="n">
        <x:f>J204*IF(G204="Growth",'Summary'!$J$9,IF(G204="Standard",'Summary'!$J$10,NA()))</x:f>
        <x:v>1</x:v>
      </x:c>
      <x:c r="N204" s="37" t="n">
        <x:f>J204-SUM(K204:M204)</x:f>
        <x:v>3</x:v>
      </x:c>
      <x:c r="O204" s="475" t="n">
        <x:f>'Summary'!$J$21</x:f>
        <x:v>10</x:v>
      </x:c>
      <x:c r="P204" s="475" t="n">
        <x:f>'Summary'!$J$22</x:f>
        <x:v>100</x:v>
      </x:c>
      <x:c r="Q204" s="475" t="n">
        <x:f>'Summary'!$J$24</x:f>
        <x:v>2</x:v>
      </x:c>
      <x:c r="R204" s="481" t="n">
        <x:f>Q204/H204</x:f>
        <x:v>0.002</x:v>
      </x:c>
      <x:c r="S204" s="35" t="n">
        <x:f>Q204*'Summary'!$J$12</x:f>
        <x:v>0.02</x:v>
      </x:c>
    </x:row>
    <x:row r="205" ht="25" customHeight="1">
      <x:c r="C205" s="2" t="n">
        <x:v>200</x:v>
      </x:c>
      <x:c r="D205" s="2" t="n">
        <x:v>20</x:v>
      </x:c>
      <x:c r="E205" s="2" t="str">
        <x:v>Bubblegum &amp; Pastel Coral</x:v>
      </x:c>
      <x:c r="F205" s="441" t="str">
        <x:v>#FFCCFF</x:v>
      </x:c>
      <x:c r="G205" s="38" t="str">
        <x:v>Standard</x:v>
      </x:c>
      <x:c r="H205" s="477" t="n">
        <x:f>'Seasons'!F25</x:f>
        <x:v>1000</x:v>
      </x:c>
      <x:c r="I205" s="60" t="n">
        <x:f>'Seasons'!G25</x:f>
        <x:v>0.01</x:v>
      </x:c>
      <x:c r="J205" s="12" t="n">
        <x:f>H205*I205</x:f>
        <x:v>10</x:v>
      </x:c>
      <x:c r="K205" s="60" t="n">
        <x:f>J205*'Seasons'!H25</x:f>
        <x:v>4</x:v>
      </x:c>
      <x:c r="L205" s="60" t="n">
        <x:f>J205*'Seasons'!I25</x:f>
        <x:v>2</x:v>
      </x:c>
      <x:c r="M205" s="60" t="n">
        <x:f>J205*IF(G205="Growth",'Summary'!$J$9,IF(G205="Standard",'Summary'!$J$10,NA()))</x:f>
        <x:v>1</x:v>
      </x:c>
      <x:c r="N205" s="12" t="n">
        <x:f>J205-SUM(K205:M205)</x:f>
        <x:v>3</x:v>
      </x:c>
      <x:c r="O205" s="477" t="n">
        <x:f>'Summary'!$J$21</x:f>
        <x:v>10</x:v>
      </x:c>
      <x:c r="P205" s="477" t="n">
        <x:f>'Summary'!$J$22</x:f>
        <x:v>100</x:v>
      </x:c>
      <x:c r="Q205" s="477" t="n">
        <x:f>'Summary'!$J$24</x:f>
        <x:v>2</x:v>
      </x:c>
      <x:c r="R205" s="482" t="n">
        <x:f>Q205/H205</x:f>
        <x:v>0.002</x:v>
      </x:c>
      <x:c r="S205" s="60" t="n">
        <x:f>Q205*'Summary'!$J$12</x:f>
        <x:v>0.02</x:v>
      </x:c>
    </x:row>
    <x:row r="206" ht="25" customHeight="1">
      <x:c r="C206" s="32" t="n">
        <x:v>201</x:v>
      </x:c>
      <x:c r="D206" s="32" t="n">
        <x:v>21</x:v>
      </x:c>
      <x:c r="E206" s="32" t="str">
        <x:v>Warm Neutral &amp; Blush Tints</x:v>
      </x:c>
      <x:c r="F206" s="443" t="str">
        <x:v>#669966</x:v>
      </x:c>
      <x:c r="G206" s="38" t="str">
        <x:v>Growth</x:v>
      </x:c>
      <x:c r="H206" s="475" t="n">
        <x:f>'Seasons'!F26</x:f>
        <x:v>1000</x:v>
      </x:c>
      <x:c r="I206" s="35" t="n">
        <x:f>'Seasons'!G26</x:f>
        <x:v>0.01</x:v>
      </x:c>
      <x:c r="J206" s="37" t="n">
        <x:f>H206*I206</x:f>
        <x:v>10</x:v>
      </x:c>
      <x:c r="K206" s="35" t="n">
        <x:f>J206*'Seasons'!H26</x:f>
        <x:v>4</x:v>
      </x:c>
      <x:c r="L206" s="35" t="n">
        <x:f>J206*'Seasons'!I26</x:f>
        <x:v>2</x:v>
      </x:c>
      <x:c r="M206" s="35" t="n">
        <x:f>J206*IF(G206="Growth",'Summary'!$J$9,IF(G206="Standard",'Summary'!$J$10,NA()))</x:f>
        <x:v>2</x:v>
      </x:c>
      <x:c r="N206" s="37" t="n">
        <x:f>J206-SUM(K206:M206)</x:f>
        <x:v>2</x:v>
      </x:c>
      <x:c r="O206" s="475" t="n">
        <x:f>'Summary'!$J$21</x:f>
        <x:v>10</x:v>
      </x:c>
      <x:c r="P206" s="475" t="n">
        <x:f>'Summary'!$J$22</x:f>
        <x:v>100</x:v>
      </x:c>
      <x:c r="Q206" s="475" t="n">
        <x:f>'Summary'!$J$24</x:f>
        <x:v>2</x:v>
      </x:c>
      <x:c r="R206" s="481" t="n">
        <x:f>Q206/H206</x:f>
        <x:v>0.002</x:v>
      </x:c>
      <x:c r="S206" s="35" t="n">
        <x:f>Q206*'Summary'!$J$12</x:f>
        <x:v>0.02</x:v>
      </x:c>
    </x:row>
    <x:row r="207" ht="25" customHeight="1">
      <x:c r="C207" s="2" t="n">
        <x:v>202</x:v>
      </x:c>
      <x:c r="D207" s="2" t="n">
        <x:v>21</x:v>
      </x:c>
      <x:c r="E207" s="2" t="str">
        <x:v>Warm Neutral &amp; Blush Tints</x:v>
      </x:c>
      <x:c r="F207" s="445" t="str">
        <x:v>#669999</x:v>
      </x:c>
      <x:c r="G207" s="38" t="str">
        <x:v>Growth</x:v>
      </x:c>
      <x:c r="H207" s="477" t="n">
        <x:f>'Seasons'!F26</x:f>
        <x:v>1000</x:v>
      </x:c>
      <x:c r="I207" s="60" t="n">
        <x:f>'Seasons'!G26</x:f>
        <x:v>0.01</x:v>
      </x:c>
      <x:c r="J207" s="12" t="n">
        <x:f>H207*I207</x:f>
        <x:v>10</x:v>
      </x:c>
      <x:c r="K207" s="60" t="n">
        <x:f>J207*'Seasons'!H26</x:f>
        <x:v>4</x:v>
      </x:c>
      <x:c r="L207" s="60" t="n">
        <x:f>J207*'Seasons'!I26</x:f>
        <x:v>2</x:v>
      </x:c>
      <x:c r="M207" s="60" t="n">
        <x:f>J207*IF(G207="Growth",'Summary'!$J$9,IF(G207="Standard",'Summary'!$J$10,NA()))</x:f>
        <x:v>2</x:v>
      </x:c>
      <x:c r="N207" s="12" t="n">
        <x:f>J207-SUM(K207:M207)</x:f>
        <x:v>2</x:v>
      </x:c>
      <x:c r="O207" s="477" t="n">
        <x:f>'Summary'!$J$21</x:f>
        <x:v>10</x:v>
      </x:c>
      <x:c r="P207" s="477" t="n">
        <x:f>'Summary'!$J$22</x:f>
        <x:v>100</x:v>
      </x:c>
      <x:c r="Q207" s="477" t="n">
        <x:f>'Summary'!$J$24</x:f>
        <x:v>2</x:v>
      </x:c>
      <x:c r="R207" s="482" t="n">
        <x:f>Q207/H207</x:f>
        <x:v>0.002</x:v>
      </x:c>
      <x:c r="S207" s="60" t="n">
        <x:f>Q207*'Summary'!$J$12</x:f>
        <x:v>0.02</x:v>
      </x:c>
    </x:row>
    <x:row r="208" ht="25" customHeight="1">
      <x:c r="C208" s="32" t="n">
        <x:v>203</x:v>
      </x:c>
      <x:c r="D208" s="32" t="n">
        <x:v>21</x:v>
      </x:c>
      <x:c r="E208" s="32" t="str">
        <x:v>Warm Neutral &amp; Blush Tints</x:v>
      </x:c>
      <x:c r="F208" s="447" t="str">
        <x:v>#CC9999</x:v>
      </x:c>
      <x:c r="G208" s="38" t="str">
        <x:v>Standard</x:v>
      </x:c>
      <x:c r="H208" s="475" t="n">
        <x:f>'Seasons'!F26</x:f>
        <x:v>1000</x:v>
      </x:c>
      <x:c r="I208" s="35" t="n">
        <x:f>'Seasons'!G26</x:f>
        <x:v>0.01</x:v>
      </x:c>
      <x:c r="J208" s="37" t="n">
        <x:f>H208*I208</x:f>
        <x:v>10</x:v>
      </x:c>
      <x:c r="K208" s="35" t="n">
        <x:f>J208*'Seasons'!H26</x:f>
        <x:v>4</x:v>
      </x:c>
      <x:c r="L208" s="35" t="n">
        <x:f>J208*'Seasons'!I26</x:f>
        <x:v>2</x:v>
      </x:c>
      <x:c r="M208" s="35" t="n">
        <x:f>J208*IF(G208="Growth",'Summary'!$J$9,IF(G208="Standard",'Summary'!$J$10,NA()))</x:f>
        <x:v>1</x:v>
      </x:c>
      <x:c r="N208" s="37" t="n">
        <x:f>J208-SUM(K208:M208)</x:f>
        <x:v>3</x:v>
      </x:c>
      <x:c r="O208" s="475" t="n">
        <x:f>'Summary'!$J$21</x:f>
        <x:v>10</x:v>
      </x:c>
      <x:c r="P208" s="475" t="n">
        <x:f>'Summary'!$J$22</x:f>
        <x:v>100</x:v>
      </x:c>
      <x:c r="Q208" s="475" t="n">
        <x:f>'Summary'!$J$24</x:f>
        <x:v>2</x:v>
      </x:c>
      <x:c r="R208" s="481" t="n">
        <x:f>Q208/H208</x:f>
        <x:v>0.002</x:v>
      </x:c>
      <x:c r="S208" s="35" t="n">
        <x:f>Q208*'Summary'!$J$12</x:f>
        <x:v>0.02</x:v>
      </x:c>
    </x:row>
    <x:row r="209" ht="25" customHeight="1">
      <x:c r="C209" s="2" t="n">
        <x:v>204</x:v>
      </x:c>
      <x:c r="D209" s="2" t="n">
        <x:v>21</x:v>
      </x:c>
      <x:c r="E209" s="2" t="str">
        <x:v>Warm Neutral &amp; Blush Tints</x:v>
      </x:c>
      <x:c r="F209" s="449" t="str">
        <x:v>#FFCC99</x:v>
      </x:c>
      <x:c r="G209" s="38" t="str">
        <x:v>Standard</x:v>
      </x:c>
      <x:c r="H209" s="477" t="n">
        <x:f>'Seasons'!F26</x:f>
        <x:v>1000</x:v>
      </x:c>
      <x:c r="I209" s="60" t="n">
        <x:f>'Seasons'!G26</x:f>
        <x:v>0.01</x:v>
      </x:c>
      <x:c r="J209" s="12" t="n">
        <x:f>H209*I209</x:f>
        <x:v>10</x:v>
      </x:c>
      <x:c r="K209" s="60" t="n">
        <x:f>J209*'Seasons'!H26</x:f>
        <x:v>4</x:v>
      </x:c>
      <x:c r="L209" s="60" t="n">
        <x:f>J209*'Seasons'!I26</x:f>
        <x:v>2</x:v>
      </x:c>
      <x:c r="M209" s="60" t="n">
        <x:f>J209*IF(G209="Growth",'Summary'!$J$9,IF(G209="Standard",'Summary'!$J$10,NA()))</x:f>
        <x:v>1</x:v>
      </x:c>
      <x:c r="N209" s="12" t="n">
        <x:f>J209-SUM(K209:M209)</x:f>
        <x:v>3</x:v>
      </x:c>
      <x:c r="O209" s="477" t="n">
        <x:f>'Summary'!$J$21</x:f>
        <x:v>10</x:v>
      </x:c>
      <x:c r="P209" s="477" t="n">
        <x:f>'Summary'!$J$22</x:f>
        <x:v>100</x:v>
      </x:c>
      <x:c r="Q209" s="477" t="n">
        <x:f>'Summary'!$J$24</x:f>
        <x:v>2</x:v>
      </x:c>
      <x:c r="R209" s="482" t="n">
        <x:f>Q209/H209</x:f>
        <x:v>0.002</x:v>
      </x:c>
      <x:c r="S209" s="60" t="n">
        <x:f>Q209*'Summary'!$J$12</x:f>
        <x:v>0.02</x:v>
      </x:c>
    </x:row>
    <x:row r="210" ht="25" customHeight="1">
      <x:c r="C210" s="32" t="n">
        <x:v>205</x:v>
      </x:c>
      <x:c r="D210" s="32" t="n">
        <x:v>21</x:v>
      </x:c>
      <x:c r="E210" s="32" t="str">
        <x:v>Warm Neutral &amp; Blush Tints</x:v>
      </x:c>
      <x:c r="F210" s="451" t="str">
        <x:v>#FFCCCC</x:v>
      </x:c>
      <x:c r="G210" s="38" t="str">
        <x:v>Standard</x:v>
      </x:c>
      <x:c r="H210" s="475" t="n">
        <x:f>'Seasons'!F26</x:f>
        <x:v>1000</x:v>
      </x:c>
      <x:c r="I210" s="35" t="n">
        <x:f>'Seasons'!G26</x:f>
        <x:v>0.01</x:v>
      </x:c>
      <x:c r="J210" s="37" t="n">
        <x:f>H210*I210</x:f>
        <x:v>10</x:v>
      </x:c>
      <x:c r="K210" s="35" t="n">
        <x:f>J210*'Seasons'!H26</x:f>
        <x:v>4</x:v>
      </x:c>
      <x:c r="L210" s="35" t="n">
        <x:f>J210*'Seasons'!I26</x:f>
        <x:v>2</x:v>
      </x:c>
      <x:c r="M210" s="35" t="n">
        <x:f>J210*IF(G210="Growth",'Summary'!$J$9,IF(G210="Standard",'Summary'!$J$10,NA()))</x:f>
        <x:v>1</x:v>
      </x:c>
      <x:c r="N210" s="37" t="n">
        <x:f>J210-SUM(K210:M210)</x:f>
        <x:v>3</x:v>
      </x:c>
      <x:c r="O210" s="475" t="n">
        <x:f>'Summary'!$J$21</x:f>
        <x:v>10</x:v>
      </x:c>
      <x:c r="P210" s="475" t="n">
        <x:f>'Summary'!$J$22</x:f>
        <x:v>100</x:v>
      </x:c>
      <x:c r="Q210" s="475" t="n">
        <x:f>'Summary'!$J$24</x:f>
        <x:v>2</x:v>
      </x:c>
      <x:c r="R210" s="481" t="n">
        <x:f>Q210/H210</x:f>
        <x:v>0.002</x:v>
      </x:c>
      <x:c r="S210" s="35" t="n">
        <x:f>Q210*'Summary'!$J$12</x:f>
        <x:v>0.02</x:v>
      </x:c>
    </x:row>
    <x:row r="211" ht="25" customHeight="1">
      <x:c r="C211" s="2" t="n">
        <x:v>206</x:v>
      </x:c>
      <x:c r="D211" s="2" t="n">
        <x:v>21</x:v>
      </x:c>
      <x:c r="E211" s="2" t="str">
        <x:v>Warm Neutral &amp; Blush Tints</x:v>
      </x:c>
      <x:c r="F211" s="453" t="str">
        <x:v>#330011</x:v>
      </x:c>
      <x:c r="G211" s="38" t="str">
        <x:v>Standard</x:v>
      </x:c>
      <x:c r="H211" s="477" t="n">
        <x:f>'Seasons'!F26</x:f>
        <x:v>1000</x:v>
      </x:c>
      <x:c r="I211" s="60" t="n">
        <x:f>'Seasons'!G26</x:f>
        <x:v>0.01</x:v>
      </x:c>
      <x:c r="J211" s="12" t="n">
        <x:f>H211*I211</x:f>
        <x:v>10</x:v>
      </x:c>
      <x:c r="K211" s="60" t="n">
        <x:f>J211*'Seasons'!H26</x:f>
        <x:v>4</x:v>
      </x:c>
      <x:c r="L211" s="60" t="n">
        <x:f>J211*'Seasons'!I26</x:f>
        <x:v>2</x:v>
      </x:c>
      <x:c r="M211" s="60" t="n">
        <x:f>J211*IF(G211="Growth",'Summary'!$J$9,IF(G211="Standard",'Summary'!$J$10,NA()))</x:f>
        <x:v>1</x:v>
      </x:c>
      <x:c r="N211" s="12" t="n">
        <x:f>J211-SUM(K211:M211)</x:f>
        <x:v>3</x:v>
      </x:c>
      <x:c r="O211" s="477" t="n">
        <x:f>'Summary'!$J$21</x:f>
        <x:v>10</x:v>
      </x:c>
      <x:c r="P211" s="477" t="n">
        <x:f>'Summary'!$J$22</x:f>
        <x:v>100</x:v>
      </x:c>
      <x:c r="Q211" s="477" t="n">
        <x:f>'Summary'!$J$24</x:f>
        <x:v>2</x:v>
      </x:c>
      <x:c r="R211" s="482" t="n">
        <x:f>Q211/H211</x:f>
        <x:v>0.002</x:v>
      </x:c>
      <x:c r="S211" s="60" t="n">
        <x:f>Q211*'Summary'!$J$12</x:f>
        <x:v>0.02</x:v>
      </x:c>
    </x:row>
    <x:row r="212" ht="25" customHeight="1">
      <x:c r="C212" s="32" t="n">
        <x:v>207</x:v>
      </x:c>
      <x:c r="D212" s="32" t="n">
        <x:v>21</x:v>
      </x:c>
      <x:c r="E212" s="32" t="str">
        <x:v>Warm Neutral &amp; Blush Tints</x:v>
      </x:c>
      <x:c r="F212" s="455" t="str">
        <x:v>#331100</x:v>
      </x:c>
      <x:c r="G212" s="38" t="str">
        <x:v>Standard</x:v>
      </x:c>
      <x:c r="H212" s="475" t="n">
        <x:f>'Seasons'!F26</x:f>
        <x:v>1000</x:v>
      </x:c>
      <x:c r="I212" s="35" t="n">
        <x:f>'Seasons'!G26</x:f>
        <x:v>0.01</x:v>
      </x:c>
      <x:c r="J212" s="37" t="n">
        <x:f>H212*I212</x:f>
        <x:v>10</x:v>
      </x:c>
      <x:c r="K212" s="35" t="n">
        <x:f>J212*'Seasons'!H26</x:f>
        <x:v>4</x:v>
      </x:c>
      <x:c r="L212" s="35" t="n">
        <x:f>J212*'Seasons'!I26</x:f>
        <x:v>2</x:v>
      </x:c>
      <x:c r="M212" s="35" t="n">
        <x:f>J212*IF(G212="Growth",'Summary'!$J$9,IF(G212="Standard",'Summary'!$J$10,NA()))</x:f>
        <x:v>1</x:v>
      </x:c>
      <x:c r="N212" s="37" t="n">
        <x:f>J212-SUM(K212:M212)</x:f>
        <x:v>3</x:v>
      </x:c>
      <x:c r="O212" s="475" t="n">
        <x:f>'Summary'!$J$21</x:f>
        <x:v>10</x:v>
      </x:c>
      <x:c r="P212" s="475" t="n">
        <x:f>'Summary'!$J$22</x:f>
        <x:v>100</x:v>
      </x:c>
      <x:c r="Q212" s="475" t="n">
        <x:f>'Summary'!$J$24</x:f>
        <x:v>2</x:v>
      </x:c>
      <x:c r="R212" s="481" t="n">
        <x:f>Q212/H212</x:f>
        <x:v>0.002</x:v>
      </x:c>
      <x:c r="S212" s="35" t="n">
        <x:f>Q212*'Summary'!$J$12</x:f>
        <x:v>0.02</x:v>
      </x:c>
    </x:row>
    <x:row r="213" ht="25" customHeight="1">
      <x:c r="C213" s="2" t="n">
        <x:v>208</x:v>
      </x:c>
      <x:c r="D213" s="2" t="n">
        <x:v>21</x:v>
      </x:c>
      <x:c r="E213" s="2" t="str">
        <x:v>Warm Neutral &amp; Blush Tints</x:v>
      </x:c>
      <x:c r="F213" s="457" t="str">
        <x:v>#110033</x:v>
      </x:c>
      <x:c r="G213" s="38" t="str">
        <x:v>Standard</x:v>
      </x:c>
      <x:c r="H213" s="477" t="n">
        <x:f>'Seasons'!F26</x:f>
        <x:v>1000</x:v>
      </x:c>
      <x:c r="I213" s="60" t="n">
        <x:f>'Seasons'!G26</x:f>
        <x:v>0.01</x:v>
      </x:c>
      <x:c r="J213" s="12" t="n">
        <x:f>H213*I213</x:f>
        <x:v>10</x:v>
      </x:c>
      <x:c r="K213" s="60" t="n">
        <x:f>J213*'Seasons'!H26</x:f>
        <x:v>4</x:v>
      </x:c>
      <x:c r="L213" s="60" t="n">
        <x:f>J213*'Seasons'!I26</x:f>
        <x:v>2</x:v>
      </x:c>
      <x:c r="M213" s="60" t="n">
        <x:f>J213*IF(G213="Growth",'Summary'!$J$9,IF(G213="Standard",'Summary'!$J$10,NA()))</x:f>
        <x:v>1</x:v>
      </x:c>
      <x:c r="N213" s="12" t="n">
        <x:f>J213-SUM(K213:M213)</x:f>
        <x:v>3</x:v>
      </x:c>
      <x:c r="O213" s="477" t="n">
        <x:f>'Summary'!$J$21</x:f>
        <x:v>10</x:v>
      </x:c>
      <x:c r="P213" s="477" t="n">
        <x:f>'Summary'!$J$22</x:f>
        <x:v>100</x:v>
      </x:c>
      <x:c r="Q213" s="477" t="n">
        <x:f>'Summary'!$J$24</x:f>
        <x:v>2</x:v>
      </x:c>
      <x:c r="R213" s="482" t="n">
        <x:f>Q213/H213</x:f>
        <x:v>0.002</x:v>
      </x:c>
      <x:c r="S213" s="60" t="n">
        <x:f>Q213*'Summary'!$J$12</x:f>
        <x:v>0.02</x:v>
      </x:c>
    </x:row>
    <x:row r="214" ht="25" customHeight="1">
      <x:c r="C214" s="32" t="n">
        <x:v>209</x:v>
      </x:c>
      <x:c r="D214" s="32" t="n">
        <x:v>21</x:v>
      </x:c>
      <x:c r="E214" s="32" t="str">
        <x:v>Warm Neutral &amp; Blush Tints</x:v>
      </x:c>
      <x:c r="F214" s="459" t="str">
        <x:v>#001133</x:v>
      </x:c>
      <x:c r="G214" s="38" t="str">
        <x:v>Standard</x:v>
      </x:c>
      <x:c r="H214" s="475" t="n">
        <x:f>'Seasons'!F26</x:f>
        <x:v>1000</x:v>
      </x:c>
      <x:c r="I214" s="35" t="n">
        <x:f>'Seasons'!G26</x:f>
        <x:v>0.01</x:v>
      </x:c>
      <x:c r="J214" s="37" t="n">
        <x:f>H214*I214</x:f>
        <x:v>10</x:v>
      </x:c>
      <x:c r="K214" s="35" t="n">
        <x:f>J214*'Seasons'!H26</x:f>
        <x:v>4</x:v>
      </x:c>
      <x:c r="L214" s="35" t="n">
        <x:f>J214*'Seasons'!I26</x:f>
        <x:v>2</x:v>
      </x:c>
      <x:c r="M214" s="35" t="n">
        <x:f>J214*IF(G214="Growth",'Summary'!$J$9,IF(G214="Standard",'Summary'!$J$10,NA()))</x:f>
        <x:v>1</x:v>
      </x:c>
      <x:c r="N214" s="37" t="n">
        <x:f>J214-SUM(K214:M214)</x:f>
        <x:v>3</x:v>
      </x:c>
      <x:c r="O214" s="475" t="n">
        <x:f>'Summary'!$J$21</x:f>
        <x:v>10</x:v>
      </x:c>
      <x:c r="P214" s="475" t="n">
        <x:f>'Summary'!$J$22</x:f>
        <x:v>100</x:v>
      </x:c>
      <x:c r="Q214" s="475" t="n">
        <x:f>'Summary'!$J$24</x:f>
        <x:v>2</x:v>
      </x:c>
      <x:c r="R214" s="481" t="n">
        <x:f>Q214/H214</x:f>
        <x:v>0.002</x:v>
      </x:c>
      <x:c r="S214" s="35" t="n">
        <x:f>Q214*'Summary'!$J$12</x:f>
        <x:v>0.02</x:v>
      </x:c>
    </x:row>
    <x:row r="215" ht="25" customHeight="1">
      <x:c r="C215" s="2" t="n">
        <x:v>210</x:v>
      </x:c>
      <x:c r="D215" s="2" t="n">
        <x:v>21</x:v>
      </x:c>
      <x:c r="E215" s="2" t="str">
        <x:v>Warm Neutral &amp; Blush Tints</x:v>
      </x:c>
      <x:c r="F215" s="461" t="str">
        <x:v>#003311</x:v>
      </x:c>
      <x:c r="G215" s="38" t="str">
        <x:v>Standard</x:v>
      </x:c>
      <x:c r="H215" s="477" t="n">
        <x:f>'Seasons'!F26</x:f>
        <x:v>1000</x:v>
      </x:c>
      <x:c r="I215" s="60" t="n">
        <x:f>'Seasons'!G26</x:f>
        <x:v>0.01</x:v>
      </x:c>
      <x:c r="J215" s="12" t="n">
        <x:f>H215*I215</x:f>
        <x:v>10</x:v>
      </x:c>
      <x:c r="K215" s="60" t="n">
        <x:f>J215*'Seasons'!H26</x:f>
        <x:v>4</x:v>
      </x:c>
      <x:c r="L215" s="60" t="n">
        <x:f>J215*'Seasons'!I26</x:f>
        <x:v>2</x:v>
      </x:c>
      <x:c r="M215" s="60" t="n">
        <x:f>J215*IF(G215="Growth",'Summary'!$J$9,IF(G215="Standard",'Summary'!$J$10,NA()))</x:f>
        <x:v>1</x:v>
      </x:c>
      <x:c r="N215" s="12" t="n">
        <x:f>J215-SUM(K215:M215)</x:f>
        <x:v>3</x:v>
      </x:c>
      <x:c r="O215" s="477" t="n">
        <x:f>'Summary'!$J$21</x:f>
        <x:v>10</x:v>
      </x:c>
      <x:c r="P215" s="477" t="n">
        <x:f>'Summary'!$J$22</x:f>
        <x:v>100</x:v>
      </x:c>
      <x:c r="Q215" s="477" t="n">
        <x:f>'Summary'!$J$24</x:f>
        <x:v>2</x:v>
      </x:c>
      <x:c r="R215" s="482" t="n">
        <x:f>Q215/H215</x:f>
        <x:v>0.002</x:v>
      </x:c>
      <x:c r="S215" s="60" t="n">
        <x:f>Q215*'Summary'!$J$12</x:f>
        <x:v>0.02</x:v>
      </x:c>
    </x:row>
    <x:row r="216" ht="25" customHeight="1">
      <x:c r="C216" s="32" t="n">
        <x:v>211</x:v>
      </x:c>
      <x:c r="D216" s="32" t="n">
        <x:v>22</x:v>
      </x:c>
      <x:c r="E216" s="32" t="str">
        <x:v>The Monochromatic Zenith</x:v>
      </x:c>
      <x:c r="F216" s="463" t="str">
        <x:v>#000000</x:v>
      </x:c>
      <x:c r="G216" s="38" t="str">
        <x:v>Growth</x:v>
      </x:c>
      <x:c r="H216" s="475" t="n">
        <x:f>'Seasons'!F27</x:f>
        <x:v>1000</x:v>
      </x:c>
      <x:c r="I216" s="35" t="n">
        <x:f>'Seasons'!G27</x:f>
        <x:v>0.01</x:v>
      </x:c>
      <x:c r="J216" s="37" t="n">
        <x:f>H216*I216</x:f>
        <x:v>10</x:v>
      </x:c>
      <x:c r="K216" s="35" t="n">
        <x:f>J216*'Seasons'!H27</x:f>
        <x:v>4</x:v>
      </x:c>
      <x:c r="L216" s="35" t="n">
        <x:f>J216*'Seasons'!I27</x:f>
        <x:v>2</x:v>
      </x:c>
      <x:c r="M216" s="35" t="n">
        <x:f>J216*IF(G216="Growth",'Summary'!$J$9,IF(G216="Standard",'Summary'!$J$10,NA()))</x:f>
        <x:v>2</x:v>
      </x:c>
      <x:c r="N216" s="37" t="n">
        <x:f>J216-SUM(K216:M216)</x:f>
        <x:v>2</x:v>
      </x:c>
      <x:c r="O216" s="475" t="n">
        <x:f>'Summary'!$J$21</x:f>
        <x:v>10</x:v>
      </x:c>
      <x:c r="P216" s="475" t="n">
        <x:f>'Summary'!$J$22</x:f>
        <x:v>100</x:v>
      </x:c>
      <x:c r="Q216" s="475" t="n">
        <x:f>'Summary'!$J$24</x:f>
        <x:v>2</x:v>
      </x:c>
      <x:c r="R216" s="481" t="n">
        <x:f>Q216/H216</x:f>
        <x:v>0.002</x:v>
      </x:c>
      <x:c r="S216" s="35" t="n">
        <x:f>Q216*'Summary'!$J$12</x:f>
        <x:v>0.02</x:v>
      </x:c>
    </x:row>
    <x:row r="217" ht="25" customHeight="1">
      <x:c r="C217" s="2" t="n">
        <x:v>212</x:v>
      </x:c>
      <x:c r="D217" s="2" t="n">
        <x:v>22</x:v>
      </x:c>
      <x:c r="E217" s="2" t="str">
        <x:v>The Monochromatic Zenith</x:v>
      </x:c>
      <x:c r="F217" s="465" t="str">
        <x:v>#333333</x:v>
      </x:c>
      <x:c r="G217" s="38" t="str">
        <x:v>Growth</x:v>
      </x:c>
      <x:c r="H217" s="477" t="n">
        <x:f>'Seasons'!F27</x:f>
        <x:v>1000</x:v>
      </x:c>
      <x:c r="I217" s="60" t="n">
        <x:f>'Seasons'!G27</x:f>
        <x:v>0.01</x:v>
      </x:c>
      <x:c r="J217" s="12" t="n">
        <x:f>H217*I217</x:f>
        <x:v>10</x:v>
      </x:c>
      <x:c r="K217" s="60" t="n">
        <x:f>J217*'Seasons'!H27</x:f>
        <x:v>4</x:v>
      </x:c>
      <x:c r="L217" s="60" t="n">
        <x:f>J217*'Seasons'!I27</x:f>
        <x:v>2</x:v>
      </x:c>
      <x:c r="M217" s="60" t="n">
        <x:f>J217*IF(G217="Growth",'Summary'!$J$9,IF(G217="Standard",'Summary'!$J$10,NA()))</x:f>
        <x:v>2</x:v>
      </x:c>
      <x:c r="N217" s="12" t="n">
        <x:f>J217-SUM(K217:M217)</x:f>
        <x:v>2</x:v>
      </x:c>
      <x:c r="O217" s="477" t="n">
        <x:f>'Summary'!$J$21</x:f>
        <x:v>10</x:v>
      </x:c>
      <x:c r="P217" s="477" t="n">
        <x:f>'Summary'!$J$22</x:f>
        <x:v>100</x:v>
      </x:c>
      <x:c r="Q217" s="477" t="n">
        <x:f>'Summary'!$J$24</x:f>
        <x:v>2</x:v>
      </x:c>
      <x:c r="R217" s="482" t="n">
        <x:f>Q217/H217</x:f>
        <x:v>0.002</x:v>
      </x:c>
      <x:c r="S217" s="60" t="n">
        <x:f>Q217*'Summary'!$J$12</x:f>
        <x:v>0.02</x:v>
      </x:c>
    </x:row>
    <x:row r="218" ht="25" customHeight="1">
      <x:c r="C218" s="32" t="n">
        <x:v>213</x:v>
      </x:c>
      <x:c r="D218" s="32" t="n">
        <x:v>22</x:v>
      </x:c>
      <x:c r="E218" s="32" t="str">
        <x:v>The Monochromatic Zenith</x:v>
      </x:c>
      <x:c r="F218" s="467" t="str">
        <x:v>#666666</x:v>
      </x:c>
      <x:c r="G218" s="38" t="str">
        <x:v>Standard</x:v>
      </x:c>
      <x:c r="H218" s="475" t="n">
        <x:f>'Seasons'!F27</x:f>
        <x:v>1000</x:v>
      </x:c>
      <x:c r="I218" s="35" t="n">
        <x:f>'Seasons'!G27</x:f>
        <x:v>0.01</x:v>
      </x:c>
      <x:c r="J218" s="37" t="n">
        <x:f>H218*I218</x:f>
        <x:v>10</x:v>
      </x:c>
      <x:c r="K218" s="35" t="n">
        <x:f>J218*'Seasons'!H27</x:f>
        <x:v>4</x:v>
      </x:c>
      <x:c r="L218" s="35" t="n">
        <x:f>J218*'Seasons'!I27</x:f>
        <x:v>2</x:v>
      </x:c>
      <x:c r="M218" s="35" t="n">
        <x:f>J218*IF(G218="Growth",'Summary'!$J$9,IF(G218="Standard",'Summary'!$J$10,NA()))</x:f>
        <x:v>1</x:v>
      </x:c>
      <x:c r="N218" s="37" t="n">
        <x:f>J218-SUM(K218:M218)</x:f>
        <x:v>3</x:v>
      </x:c>
      <x:c r="O218" s="475" t="n">
        <x:f>'Summary'!$J$21</x:f>
        <x:v>10</x:v>
      </x:c>
      <x:c r="P218" s="475" t="n">
        <x:f>'Summary'!$J$22</x:f>
        <x:v>100</x:v>
      </x:c>
      <x:c r="Q218" s="475" t="n">
        <x:f>'Summary'!$J$24</x:f>
        <x:v>2</x:v>
      </x:c>
      <x:c r="R218" s="481" t="n">
        <x:f>Q218/H218</x:f>
        <x:v>0.002</x:v>
      </x:c>
      <x:c r="S218" s="35" t="n">
        <x:f>Q218*'Summary'!$J$12</x:f>
        <x:v>0.02</x:v>
      </x:c>
    </x:row>
    <x:row r="219" ht="25" customHeight="1">
      <x:c r="C219" s="2" t="n">
        <x:v>214</x:v>
      </x:c>
      <x:c r="D219" s="2" t="n">
        <x:v>22</x:v>
      </x:c>
      <x:c r="E219" s="2" t="str">
        <x:v>The Monochromatic Zenith</x:v>
      </x:c>
      <x:c r="F219" s="469" t="str">
        <x:v>#999999</x:v>
      </x:c>
      <x:c r="G219" s="38" t="str">
        <x:v>Standard</x:v>
      </x:c>
      <x:c r="H219" s="477" t="n">
        <x:f>'Seasons'!F27</x:f>
        <x:v>1000</x:v>
      </x:c>
      <x:c r="I219" s="60" t="n">
        <x:f>'Seasons'!G27</x:f>
        <x:v>0.01</x:v>
      </x:c>
      <x:c r="J219" s="12" t="n">
        <x:f>H219*I219</x:f>
        <x:v>10</x:v>
      </x:c>
      <x:c r="K219" s="60" t="n">
        <x:f>J219*'Seasons'!H27</x:f>
        <x:v>4</x:v>
      </x:c>
      <x:c r="L219" s="60" t="n">
        <x:f>J219*'Seasons'!I27</x:f>
        <x:v>2</x:v>
      </x:c>
      <x:c r="M219" s="60" t="n">
        <x:f>J219*IF(G219="Growth",'Summary'!$J$9,IF(G219="Standard",'Summary'!$J$10,NA()))</x:f>
        <x:v>1</x:v>
      </x:c>
      <x:c r="N219" s="12" t="n">
        <x:f>J219-SUM(K219:M219)</x:f>
        <x:v>3</x:v>
      </x:c>
      <x:c r="O219" s="477" t="n">
        <x:f>'Summary'!$J$21</x:f>
        <x:v>10</x:v>
      </x:c>
      <x:c r="P219" s="477" t="n">
        <x:f>'Summary'!$J$22</x:f>
        <x:v>100</x:v>
      </x:c>
      <x:c r="Q219" s="477" t="n">
        <x:f>'Summary'!$J$24</x:f>
        <x:v>2</x:v>
      </x:c>
      <x:c r="R219" s="482" t="n">
        <x:f>Q219/H219</x:f>
        <x:v>0.002</x:v>
      </x:c>
      <x:c r="S219" s="60" t="n">
        <x:f>Q219*'Summary'!$J$12</x:f>
        <x:v>0.02</x:v>
      </x:c>
    </x:row>
    <x:row r="220" ht="25" customHeight="1">
      <x:c r="C220" s="32" t="n">
        <x:v>215</x:v>
      </x:c>
      <x:c r="D220" s="32" t="n">
        <x:v>22</x:v>
      </x:c>
      <x:c r="E220" s="32" t="str">
        <x:v>The Monochromatic Zenith</x:v>
      </x:c>
      <x:c r="F220" s="471" t="str">
        <x:v>#CCCCCC</x:v>
      </x:c>
      <x:c r="G220" s="38" t="str">
        <x:v>Standard</x:v>
      </x:c>
      <x:c r="H220" s="475" t="n">
        <x:f>'Seasons'!F27</x:f>
        <x:v>1000</x:v>
      </x:c>
      <x:c r="I220" s="35" t="n">
        <x:f>'Seasons'!G27</x:f>
        <x:v>0.01</x:v>
      </x:c>
      <x:c r="J220" s="37" t="n">
        <x:f>H220*I220</x:f>
        <x:v>10</x:v>
      </x:c>
      <x:c r="K220" s="35" t="n">
        <x:f>J220*'Seasons'!H27</x:f>
        <x:v>4</x:v>
      </x:c>
      <x:c r="L220" s="35" t="n">
        <x:f>J220*'Seasons'!I27</x:f>
        <x:v>2</x:v>
      </x:c>
      <x:c r="M220" s="35" t="n">
        <x:f>J220*IF(G220="Growth",'Summary'!$J$9,IF(G220="Standard",'Summary'!$J$10,NA()))</x:f>
        <x:v>1</x:v>
      </x:c>
      <x:c r="N220" s="37" t="n">
        <x:f>J220-SUM(K220:M220)</x:f>
        <x:v>3</x:v>
      </x:c>
      <x:c r="O220" s="475" t="n">
        <x:f>'Summary'!$J$21</x:f>
        <x:v>10</x:v>
      </x:c>
      <x:c r="P220" s="475" t="n">
        <x:f>'Summary'!$J$22</x:f>
        <x:v>100</x:v>
      </x:c>
      <x:c r="Q220" s="475" t="n">
        <x:f>'Summary'!$J$24</x:f>
        <x:v>2</x:v>
      </x:c>
      <x:c r="R220" s="481" t="n">
        <x:f>Q220/H220</x:f>
        <x:v>0.002</x:v>
      </x:c>
      <x:c r="S220" s="35" t="n">
        <x:f>Q220*'Summary'!$J$12</x:f>
        <x:v>0.02</x:v>
      </x:c>
    </x:row>
    <x:row r="221" ht="25" customHeight="1">
      <x:c r="C221" s="2" t="n">
        <x:v>216</x:v>
      </x:c>
      <x:c r="D221" s="2" t="n">
        <x:v>22</x:v>
      </x:c>
      <x:c r="E221" s="2" t="str">
        <x:v>The Monochromatic Zenith</x:v>
      </x:c>
      <x:c r="F221" s="473" t="str">
        <x:v>#FFFFFF</x:v>
      </x:c>
      <x:c r="G221" s="38" t="str">
        <x:v>Standard</x:v>
      </x:c>
      <x:c r="H221" s="477" t="n">
        <x:f>'Seasons'!F27</x:f>
        <x:v>1000</x:v>
      </x:c>
      <x:c r="I221" s="60" t="n">
        <x:f>'Seasons'!G27</x:f>
        <x:v>0.01</x:v>
      </x:c>
      <x:c r="J221" s="12" t="n">
        <x:f>H221*I221</x:f>
        <x:v>10</x:v>
      </x:c>
      <x:c r="K221" s="60" t="n">
        <x:f>J221*'Seasons'!H27</x:f>
        <x:v>4</x:v>
      </x:c>
      <x:c r="L221" s="60" t="n">
        <x:f>J221*'Seasons'!I27</x:f>
        <x:v>2</x:v>
      </x:c>
      <x:c r="M221" s="60" t="n">
        <x:f>J221*IF(G221="Growth",'Summary'!$J$9,IF(G221="Standard",'Summary'!$J$10,NA()))</x:f>
        <x:v>1</x:v>
      </x:c>
      <x:c r="N221" s="12" t="n">
        <x:f>J221-SUM(K221:M221)</x:f>
        <x:v>3</x:v>
      </x:c>
      <x:c r="O221" s="477" t="n">
        <x:f>'Summary'!$J$21</x:f>
        <x:v>10</x:v>
      </x:c>
      <x:c r="P221" s="477" t="n">
        <x:f>'Summary'!$J$22</x:f>
        <x:v>100</x:v>
      </x:c>
      <x:c r="Q221" s="477" t="n">
        <x:f>'Summary'!$J$24</x:f>
        <x:v>2</x:v>
      </x:c>
      <x:c r="R221" s="482" t="n">
        <x:f>Q221/H221</x:f>
        <x:v>0.002</x:v>
      </x:c>
      <x:c r="S221" s="60" t="n">
        <x:f>Q221*'Summary'!$J$12</x:f>
        <x:v>0.02</x:v>
      </x:c>
    </x:row>
    <x:row r="222" ht="25" customHeight="1"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</x:row>
    <x:row r="223" ht="30" customHeight="1">
      <x:c r="C223" s="6"/>
      <x:c r="D223" s="6"/>
      <x:c r="E223" s="6"/>
      <x:c r="F223" s="6" t="str">
        <x:v>All collections</x:v>
      </x:c>
      <x:c r="G223" s="6"/>
      <x:c r="H223" s="6" t="n">
        <x:f>SUM(H6:H221)</x:f>
        <x:v>216000</x:v>
      </x:c>
      <x:c r="I223" s="6"/>
      <x:c r="J223" s="480" t="n">
        <x:f>SUM(J6:J221)</x:f>
        <x:v>2160</x:v>
      </x:c>
      <x:c r="K223" s="480" t="n">
        <x:f>SUM(K6:K221)</x:f>
        <x:v>864</x:v>
      </x:c>
      <x:c r="L223" s="480" t="n">
        <x:f>SUM(L6:L221)</x:f>
        <x:v>432</x:v>
      </x:c>
      <x:c r="M223" s="480" t="n">
        <x:f>SUM(M6:M221)</x:f>
        <x:v>292</x:v>
      </x:c>
      <x:c r="N223" s="480" t="n">
        <x:f>SUM(N6:N221)</x:f>
        <x:v>572</x:v>
      </x:c>
      <x:c r="O223" s="6"/>
      <x:c r="P223" s="6"/>
      <x:c r="Q223" s="6" t="n">
        <x:f>SUM(Q6:Q221)</x:f>
        <x:v>432</x:v>
      </x:c>
      <x:c r="R223" s="6"/>
      <x:c r="S223" s="480" t="n">
        <x:f>SUM(S6:S221)</x:f>
        <x:v>4.319999999999996</x:v>
      </x:c>
    </x:row>
    <x:row r="224" ht="25" customHeight="1"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</x:row>
    <x:row r="225" ht="25" customHeight="1"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</x:row>
  </x:sheetData>
  <x:dataValidations count="1">
    <x:dataValidation type="list" sqref="G6:G221">
      <x:formula1>"Growth,Standard"</x:formula1>
    </x:dataValidation>
  </x:dataValidations>
  <x:pageMargins left="0.7" right="0.7" top="0.75" bottom="0.75" header="0.3" footer="0.3"/>
</x:worksheet>
</file>